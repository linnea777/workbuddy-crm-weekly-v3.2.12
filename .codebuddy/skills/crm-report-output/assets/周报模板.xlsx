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280"/>
  </bookViews>
  <sheets>
    <sheet name="Weekly Summary" sheetId="1" r:id="rId1"/>
  </sheets>
  <definedNames>
    <definedName name="aaa">#REF!</definedName>
    <definedName name="_xlnm.Print_Area" localSheetId="0">'Weekly Summary'!$B$2:$G$60</definedName>
    <definedName name="ssss">#REF!</definedName>
    <definedName name="小山日本料理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<sst xmlns="http://schemas.openxmlformats.org/spreadsheetml/2006/main" count="153" uniqueCount="84">
  <si>
    <t>CRM Sales</t>
  </si>
  <si>
    <t>7.6-7.12</t>
  </si>
  <si>
    <t>环比值</t>
  </si>
  <si>
    <t>WOW</t>
  </si>
  <si>
    <r>
      <rPr>
        <b/>
        <sz val="12"/>
        <color rgb="FF000000"/>
        <rFont val="宋体"/>
        <charset val="134"/>
      </rPr>
      <t>同比值</t>
    </r>
    <r>
      <rPr>
        <b/>
        <sz val="12"/>
        <color rgb="FF000000"/>
        <rFont val="Aptos"/>
        <charset val="134"/>
      </rPr>
      <t xml:space="preserve">                          YOY</t>
    </r>
  </si>
  <si>
    <t>26YTD</t>
  </si>
  <si>
    <t>25YTD</t>
  </si>
  <si>
    <t>YOY</t>
  </si>
  <si>
    <t>South</t>
  </si>
  <si>
    <t>North</t>
  </si>
  <si>
    <t>West</t>
  </si>
  <si>
    <t>Total</t>
  </si>
  <si>
    <t>6.29-7.5</t>
  </si>
  <si>
    <t>交易笔数</t>
  </si>
  <si>
    <t>笔单价</t>
  </si>
  <si>
    <t>Mallsales</t>
  </si>
  <si>
    <t>Capture Ratio</t>
  </si>
  <si>
    <t xml:space="preserve">LV </t>
  </si>
  <si>
    <t>上周</t>
  </si>
  <si>
    <t>DIOR</t>
  </si>
  <si>
    <t>HERMES</t>
  </si>
  <si>
    <t>Mall Sales</t>
  </si>
  <si>
    <t>WoW</t>
  </si>
  <si>
    <t>Total Mall Sales</t>
  </si>
  <si>
    <t xml:space="preserve"> Last Week Mall Sales</t>
  </si>
  <si>
    <t>WOW DIF</t>
  </si>
  <si>
    <t>YOY DIF</t>
  </si>
  <si>
    <t>total Capture ratio</t>
  </si>
  <si>
    <r>
      <rPr>
        <b/>
        <sz val="12"/>
        <color rgb="FF000000"/>
        <rFont val="宋体"/>
        <charset val="134"/>
      </rPr>
      <t>上周</t>
    </r>
    <r>
      <rPr>
        <b/>
        <sz val="12"/>
        <color rgb="FF000000"/>
        <rFont val="Aptos"/>
        <charset val="134"/>
      </rPr>
      <t>ratio</t>
    </r>
  </si>
  <si>
    <r>
      <rPr>
        <b/>
        <sz val="12"/>
        <color rgb="FF000000"/>
        <rFont val="Aptos"/>
        <charset val="134"/>
      </rPr>
      <t xml:space="preserve"> Ratio </t>
    </r>
    <r>
      <rPr>
        <b/>
        <sz val="12"/>
        <color rgb="FF000000"/>
        <rFont val="宋体"/>
        <charset val="134"/>
      </rPr>
      <t>环比值</t>
    </r>
  </si>
  <si>
    <r>
      <rPr>
        <b/>
        <sz val="12"/>
        <color rgb="FF000000"/>
        <rFont val="Aptos"/>
        <charset val="134"/>
      </rPr>
      <t xml:space="preserve"> Ratio </t>
    </r>
    <r>
      <rPr>
        <b/>
        <sz val="12"/>
        <color rgb="FF000000"/>
        <rFont val="宋体"/>
        <charset val="134"/>
      </rPr>
      <t>同比值</t>
    </r>
  </si>
  <si>
    <t>DIF</t>
  </si>
  <si>
    <t>Accumulated Member points</t>
  </si>
  <si>
    <t>Star Diamond</t>
  </si>
  <si>
    <t>Black Diamond</t>
  </si>
  <si>
    <t>Black</t>
  </si>
  <si>
    <t>Gold</t>
  </si>
  <si>
    <t>Silver</t>
  </si>
  <si>
    <t xml:space="preserve">Number of  Members </t>
  </si>
  <si>
    <t xml:space="preserve">New recruited </t>
  </si>
  <si>
    <t>`</t>
  </si>
  <si>
    <t>LV</t>
  </si>
  <si>
    <t>Dior</t>
  </si>
  <si>
    <r>
      <rPr>
        <b/>
        <sz val="11"/>
        <color rgb="FFFFFFFF"/>
        <rFont val="微软雅黑"/>
        <charset val="134"/>
      </rPr>
      <t>消费金额</t>
    </r>
  </si>
  <si>
    <t>人数</t>
  </si>
  <si>
    <t>%</t>
  </si>
  <si>
    <r>
      <rPr>
        <b/>
        <sz val="11"/>
        <color rgb="FFFFFFFF"/>
        <rFont val="等线"/>
        <charset val="134"/>
      </rPr>
      <t>金额合计</t>
    </r>
  </si>
  <si>
    <r>
      <rPr>
        <b/>
        <sz val="11"/>
        <color rgb="FFFFFFFF"/>
        <rFont val="等线"/>
        <charset val="134"/>
      </rPr>
      <t>人数</t>
    </r>
  </si>
  <si>
    <t>Rank</t>
  </si>
  <si>
    <r>
      <rPr>
        <b/>
        <sz val="11"/>
        <color theme="1"/>
        <rFont val="微软雅黑"/>
        <charset val="134"/>
      </rPr>
      <t>消费商铺</t>
    </r>
    <r>
      <rPr>
        <b/>
        <sz val="11"/>
        <color theme="1"/>
        <rFont val="Aptos"/>
        <charset val="134"/>
      </rPr>
      <t>(Top10)</t>
    </r>
  </si>
  <si>
    <r>
      <rPr>
        <b/>
        <sz val="11"/>
        <color theme="1"/>
        <rFont val="微软雅黑"/>
        <charset val="134"/>
      </rPr>
      <t>消费金额</t>
    </r>
  </si>
  <si>
    <r>
      <rPr>
        <b/>
        <sz val="11"/>
        <color theme="1"/>
        <rFont val="微软雅黑"/>
        <charset val="134"/>
      </rPr>
      <t>消费笔数</t>
    </r>
  </si>
  <si>
    <r>
      <rPr>
        <b/>
        <sz val="11"/>
        <color theme="1"/>
        <rFont val="微软雅黑"/>
        <charset val="134"/>
      </rPr>
      <t>笔单价</t>
    </r>
  </si>
  <si>
    <r>
      <rPr>
        <sz val="11"/>
        <color theme="1"/>
        <rFont val="宋体"/>
        <charset val="134"/>
      </rPr>
      <t>金额</t>
    </r>
    <r>
      <rPr>
        <sz val="11"/>
        <color theme="1"/>
        <rFont val="Aptos"/>
        <charset val="134"/>
      </rPr>
      <t>WOW</t>
    </r>
  </si>
  <si>
    <r>
      <rPr>
        <sz val="11"/>
        <color rgb="FF000000"/>
        <rFont val="等线"/>
        <charset val="134"/>
      </rPr>
      <t>＞</t>
    </r>
    <r>
      <rPr>
        <sz val="11"/>
        <color rgb="FF000000"/>
        <rFont val="Aptos"/>
        <charset val="134"/>
      </rPr>
      <t>5w</t>
    </r>
  </si>
  <si>
    <t>4w-5w</t>
  </si>
  <si>
    <t>3w-4w</t>
  </si>
  <si>
    <t>2w-3w</t>
  </si>
  <si>
    <t>1w-2w</t>
  </si>
  <si>
    <t>≤1w</t>
  </si>
  <si>
    <t>TOTAL</t>
  </si>
  <si>
    <t>/</t>
  </si>
  <si>
    <t>Top10</t>
  </si>
  <si>
    <t>会员类别</t>
  </si>
  <si>
    <t>会员等级</t>
  </si>
  <si>
    <t>消费店铺</t>
  </si>
  <si>
    <t>消费金额</t>
  </si>
  <si>
    <r>
      <rPr>
        <sz val="11"/>
        <color rgb="FF000000"/>
        <rFont val="等线"/>
        <charset val="134"/>
      </rPr>
      <t>＞100</t>
    </r>
    <r>
      <rPr>
        <sz val="11"/>
        <color rgb="FF000000"/>
        <rFont val="Aptos"/>
        <charset val="134"/>
      </rPr>
      <t>w</t>
    </r>
  </si>
  <si>
    <t>80w-100w</t>
  </si>
  <si>
    <t>50w-80w</t>
  </si>
  <si>
    <t>30w-50w</t>
  </si>
  <si>
    <t>10w-30w</t>
  </si>
  <si>
    <r>
      <rPr>
        <sz val="11"/>
        <color rgb="FF000000"/>
        <rFont val="Cambria Math"/>
        <charset val="134"/>
      </rPr>
      <t>≤</t>
    </r>
    <r>
      <rPr>
        <sz val="11"/>
        <color rgb="FF000000"/>
        <rFont val="Aptos"/>
        <charset val="134"/>
      </rPr>
      <t>10w</t>
    </r>
  </si>
  <si>
    <t>-</t>
  </si>
  <si>
    <t>会员活跃度</t>
  </si>
  <si>
    <t>Card Level</t>
  </si>
  <si>
    <t>Active Member</t>
  </si>
  <si>
    <t>Last Week Active Member</t>
  </si>
  <si>
    <t>Star Diamond</t>
  </si>
  <si>
    <t>分卡级消费</t>
  </si>
  <si>
    <t>CRM SALES</t>
  </si>
  <si>
    <t>District</t>
  </si>
  <si>
    <t>N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</si>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</sst>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  <numFmt numFmtId="177" formatCode="0.0%"/>
    <numFmt numFmtId="178" formatCode="#,##0.00_ "/>
    <numFmt numFmtId="179" formatCode="#,##0_ "/>
    <numFmt numFmtId="180" formatCode="_ * #,##0_ ;_ * \-#,##0_ ;_ * &quot;-&quot;??_ ;_ @_ "/>
  </numFmts>
  <fonts count="66">
    <font>
      <sz val="11"/>
      <color theme="1"/>
      <name val="等线"/>
      <charset val="134"/>
      <scheme val="minor"/>
    </font>
    <font>
      <sz val="11"/>
      <color theme="1"/>
      <name val="Aptos"/>
      <charset val="134"/>
    </font>
    <font>
      <b/>
      <sz val="12"/>
      <color rgb="FF000000"/>
      <name val="Aptos"/>
      <charset val="134"/>
    </font>
    <font>
      <b/>
      <sz val="12"/>
      <color rgb="FF000000"/>
      <name val="宋体"/>
      <charset val="134"/>
    </font>
    <font>
      <sz val="12"/>
      <color rgb="FF000000"/>
      <name val="Aptos"/>
      <charset val="134"/>
    </font>
    <font>
      <sz val="12"/>
      <color rgb="FF333333"/>
      <name val="Aptos"/>
      <charset val="134"/>
    </font>
    <font>
      <sz val="11"/>
      <color rgb="FFFF0000"/>
      <name val="Aptos"/>
      <charset val="134"/>
    </font>
    <font>
      <sz val="11"/>
      <color rgb="FF333333"/>
      <name val="Aptos"/>
      <charset val="134"/>
    </font>
    <font>
      <sz val="11"/>
      <color theme="1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等线"/>
      <charset val="134"/>
    </font>
    <font>
      <b/>
      <sz val="10"/>
      <name val="Aptos"/>
      <charset val="134"/>
    </font>
    <font>
      <sz val="11"/>
      <color rgb="FF333333"/>
      <name val="Tahoma"/>
      <charset val="134"/>
    </font>
    <font>
      <b/>
      <sz val="11"/>
      <color rgb="FF333333"/>
      <name val="Aptos"/>
      <charset val="134"/>
    </font>
    <font>
      <sz val="12"/>
      <color rgb="FF00B050"/>
      <name val="Aptos"/>
      <charset val="134"/>
    </font>
    <font>
      <sz val="11"/>
      <color rgb="FF70B4FA"/>
      <name val="Aptos"/>
      <charset val="134"/>
    </font>
    <font>
      <b/>
      <sz val="11"/>
      <color rgb="FF303133"/>
      <name val="Aptos"/>
      <charset val="134"/>
    </font>
    <font>
      <b/>
      <sz val="11"/>
      <color rgb="FFFFFFFF"/>
      <name val="Aptos"/>
      <charset val="134"/>
    </font>
    <font>
      <b/>
      <sz val="11"/>
      <color rgb="FFFFFFFF"/>
      <name val="等线"/>
      <charset val="134"/>
    </font>
    <font>
      <b/>
      <sz val="11"/>
      <color theme="1"/>
      <name val="Aptos"/>
      <charset val="134"/>
    </font>
    <font>
      <sz val="11"/>
      <color rgb="FF000000"/>
      <name val="Aptos"/>
      <charset val="134"/>
    </font>
    <font>
      <sz val="11"/>
      <color rgb="FF000000"/>
      <name val="Aptos"/>
      <charset val="134"/>
    </font>
    <font>
      <sz val="12"/>
      <color rgb="FFFF0000"/>
      <name val="Aptos"/>
      <charset val="134"/>
    </font>
    <font>
      <b/>
      <sz val="11"/>
      <color rgb="FF000000"/>
      <name val="Aptos"/>
      <charset val="134"/>
    </font>
    <font>
      <b/>
      <sz val="11"/>
      <color rgb="FF000000"/>
      <name val="Helvetica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sz val="11"/>
      <color theme="8"/>
      <name val="等线"/>
      <charset val="134"/>
    </font>
    <font>
      <u/>
      <sz val="11"/>
      <color rgb="FF000000"/>
      <name val="等线"/>
      <charset val="134"/>
    </font>
    <font>
      <sz val="11"/>
      <color rgb="FFFF6054"/>
      <name val="Tahoma"/>
      <charset val="134"/>
    </font>
    <font>
      <sz val="11"/>
      <color rgb="FF00B0F0"/>
      <name val="等线"/>
      <charset val="134"/>
    </font>
    <font>
      <sz val="10"/>
      <name val="Arial"/>
      <charset val="134"/>
    </font>
    <font>
      <sz val="11"/>
      <name val="等线"/>
      <charset val="134"/>
    </font>
    <font>
      <sz val="11"/>
      <color theme="7"/>
      <name val="等线"/>
      <charset val="134"/>
    </font>
    <font>
      <sz val="11"/>
      <color rgb="FF333333"/>
      <name val="宋体"/>
      <charset val="134"/>
    </font>
    <font>
      <sz val="11"/>
      <color rgb="FF45BB44"/>
      <name val="Tahoma"/>
      <charset val="134"/>
    </font>
    <font>
      <sz val="11"/>
      <color rgb="FF70B4FA"/>
      <name val="Tahoma"/>
      <charset val="134"/>
    </font>
    <font>
      <u/>
      <sz val="11"/>
      <color rgb="FF70B4FA"/>
      <name val="Tahoma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Cambria Math"/>
      <charset val="134"/>
    </font>
  </fonts>
  <fills count="4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89FA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rgb="FFEBEEF5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EBEEF5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4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2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15" borderId="39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40" applyNumberFormat="0" applyFill="0" applyAlignment="0" applyProtection="0">
      <alignment vertical="center"/>
    </xf>
    <xf numFmtId="0" fontId="47" fillId="0" borderId="40" applyNumberFormat="0" applyFill="0" applyAlignment="0" applyProtection="0">
      <alignment vertical="center"/>
    </xf>
    <xf numFmtId="0" fontId="48" fillId="0" borderId="41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6" borderId="42" applyNumberFormat="0" applyAlignment="0" applyProtection="0">
      <alignment vertical="center"/>
    </xf>
    <xf numFmtId="0" fontId="50" fillId="17" borderId="43" applyNumberFormat="0" applyAlignment="0" applyProtection="0">
      <alignment vertical="center"/>
    </xf>
    <xf numFmtId="0" fontId="51" fillId="17" borderId="42" applyNumberFormat="0" applyAlignment="0" applyProtection="0">
      <alignment vertical="center"/>
    </xf>
    <xf numFmtId="0" fontId="52" fillId="18" borderId="44" applyNumberFormat="0" applyAlignment="0" applyProtection="0">
      <alignment vertical="center"/>
    </xf>
    <xf numFmtId="0" fontId="53" fillId="0" borderId="45" applyNumberFormat="0" applyFill="0" applyAlignment="0" applyProtection="0">
      <alignment vertical="center"/>
    </xf>
    <xf numFmtId="0" fontId="54" fillId="0" borderId="46" applyNumberFormat="0" applyFill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0" fontId="61" fillId="0" borderId="0"/>
    <xf numFmtId="0" fontId="62" fillId="0" borderId="0">
      <alignment vertical="center"/>
    </xf>
  </cellStyleXfs>
  <cellXfs count="19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" fontId="1" fillId="0" borderId="0" xfId="0" applyNumberFormat="1" applyFont="1">
      <alignment vertical="center"/>
    </xf>
    <xf numFmtId="0" fontId="4" fillId="0" borderId="4" xfId="0" applyFont="1" applyBorder="1">
      <alignment vertical="center"/>
    </xf>
    <xf numFmtId="176" fontId="5" fillId="0" borderId="5" xfId="0" applyNumberFormat="1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178" fontId="1" fillId="0" borderId="0" xfId="0" applyNumberFormat="1" applyFont="1">
      <alignment vertical="center"/>
    </xf>
    <xf numFmtId="0" fontId="4" fillId="0" borderId="7" xfId="0" applyFont="1" applyBorder="1">
      <alignment vertical="center"/>
    </xf>
    <xf numFmtId="176" fontId="5" fillId="0" borderId="8" xfId="0" applyNumberFormat="1" applyFont="1" applyBorder="1" applyAlignment="1">
      <alignment horizontal="center" vertical="center"/>
    </xf>
    <xf numFmtId="177" fontId="4" fillId="0" borderId="8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9" fontId="4" fillId="0" borderId="0" xfId="1" applyNumberFormat="1" applyFont="1">
      <alignment vertical="center"/>
    </xf>
    <xf numFmtId="177" fontId="6" fillId="0" borderId="0" xfId="0" applyNumberFormat="1" applyFont="1">
      <alignment vertical="center"/>
    </xf>
    <xf numFmtId="10" fontId="4" fillId="0" borderId="0" xfId="0" applyNumberFormat="1" applyFont="1">
      <alignment vertical="center"/>
    </xf>
    <xf numFmtId="179" fontId="4" fillId="0" borderId="0" xfId="0" applyNumberFormat="1" applyFont="1">
      <alignment vertical="center"/>
    </xf>
    <xf numFmtId="10" fontId="4" fillId="0" borderId="0" xfId="3" applyNumberFormat="1" applyFont="1" applyBorder="1">
      <alignment vertical="center"/>
    </xf>
    <xf numFmtId="3" fontId="7" fillId="3" borderId="0" xfId="0" applyNumberFormat="1" applyFont="1" applyFill="1">
      <alignment vertical="center"/>
    </xf>
    <xf numFmtId="0" fontId="8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4" borderId="5" xfId="0" applyFont="1" applyFill="1" applyBorder="1">
      <alignment vertical="center"/>
    </xf>
    <xf numFmtId="3" fontId="7" fillId="0" borderId="5" xfId="0" applyNumberFormat="1" applyFont="1" applyBorder="1" applyAlignment="1">
      <alignment horizontal="center" vertical="center"/>
    </xf>
    <xf numFmtId="177" fontId="4" fillId="4" borderId="5" xfId="0" applyNumberFormat="1" applyFont="1" applyFill="1" applyBorder="1" applyAlignment="1">
      <alignment horizontal="center" vertical="center"/>
    </xf>
    <xf numFmtId="177" fontId="1" fillId="0" borderId="5" xfId="0" applyNumberFormat="1" applyFont="1" applyBorder="1">
      <alignment vertical="center"/>
    </xf>
    <xf numFmtId="9" fontId="1" fillId="0" borderId="0" xfId="0" applyNumberFormat="1" applyFont="1">
      <alignment vertical="center"/>
    </xf>
    <xf numFmtId="0" fontId="9" fillId="0" borderId="0" xfId="0" applyFont="1">
      <alignment vertical="center"/>
    </xf>
    <xf numFmtId="3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7" fontId="1" fillId="0" borderId="0" xfId="0" applyNumberFormat="1" applyFont="1">
      <alignment vertical="center"/>
    </xf>
    <xf numFmtId="0" fontId="4" fillId="0" borderId="0" xfId="0" applyFont="1">
      <alignment vertical="center"/>
    </xf>
    <xf numFmtId="9" fontId="7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0" fontId="1" fillId="0" borderId="0" xfId="0" applyNumberFormat="1" applyFont="1">
      <alignment vertical="center"/>
    </xf>
    <xf numFmtId="177" fontId="8" fillId="0" borderId="0" xfId="0" applyNumberFormat="1" applyFont="1" applyAlignment="1">
      <alignment horizontal="center" vertical="center"/>
    </xf>
    <xf numFmtId="0" fontId="2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10" fillId="5" borderId="12" xfId="0" applyFont="1" applyFill="1" applyBorder="1">
      <alignment vertical="center"/>
    </xf>
    <xf numFmtId="3" fontId="4" fillId="0" borderId="5" xfId="0" applyNumberFormat="1" applyFont="1" applyBorder="1" applyAlignment="1">
      <alignment horizontal="right" vertical="center"/>
    </xf>
    <xf numFmtId="0" fontId="2" fillId="0" borderId="7" xfId="0" applyFont="1" applyBorder="1">
      <alignment vertical="center"/>
    </xf>
    <xf numFmtId="3" fontId="4" fillId="0" borderId="8" xfId="0" applyNumberFormat="1" applyFont="1" applyBorder="1" applyAlignment="1">
      <alignment horizontal="right" vertical="center"/>
    </xf>
    <xf numFmtId="3" fontId="4" fillId="0" borderId="0" xfId="0" applyNumberFormat="1" applyFont="1">
      <alignment vertical="center"/>
    </xf>
    <xf numFmtId="177" fontId="4" fillId="0" borderId="5" xfId="3" applyNumberFormat="1" applyFont="1" applyBorder="1" applyAlignment="1">
      <alignment horizontal="center" vertical="center"/>
    </xf>
    <xf numFmtId="177" fontId="4" fillId="0" borderId="8" xfId="3" applyNumberFormat="1" applyFont="1" applyBorder="1" applyAlignment="1">
      <alignment horizontal="center" vertical="center"/>
    </xf>
    <xf numFmtId="176" fontId="11" fillId="0" borderId="0" xfId="51" applyNumberFormat="1" applyFont="1" applyAlignment="1">
      <alignment horizontal="right"/>
    </xf>
    <xf numFmtId="176" fontId="1" fillId="0" borderId="0" xfId="0" applyNumberFormat="1" applyFont="1">
      <alignment vertical="center"/>
    </xf>
    <xf numFmtId="3" fontId="1" fillId="0" borderId="0" xfId="0" applyNumberFormat="1" applyFont="1">
      <alignment vertical="center"/>
    </xf>
    <xf numFmtId="0" fontId="2" fillId="6" borderId="5" xfId="0" applyFont="1" applyFill="1" applyBorder="1">
      <alignment vertical="center"/>
    </xf>
    <xf numFmtId="0" fontId="2" fillId="2" borderId="13" xfId="0" applyFont="1" applyFill="1" applyBorder="1">
      <alignment vertical="center"/>
    </xf>
    <xf numFmtId="176" fontId="7" fillId="0" borderId="5" xfId="0" applyNumberFormat="1" applyFont="1" applyBorder="1" applyAlignment="1">
      <alignment horizontal="center" vertical="center"/>
    </xf>
    <xf numFmtId="0" fontId="4" fillId="0" borderId="14" xfId="0" applyFont="1" applyBorder="1">
      <alignment vertical="center"/>
    </xf>
    <xf numFmtId="4" fontId="12" fillId="0" borderId="0" xfId="0" applyNumberFormat="1" applyFont="1">
      <alignment vertical="center"/>
    </xf>
    <xf numFmtId="0" fontId="7" fillId="0" borderId="0" xfId="0" applyFont="1">
      <alignment vertical="center"/>
    </xf>
    <xf numFmtId="10" fontId="11" fillId="0" borderId="0" xfId="51" applyNumberFormat="1" applyFont="1" applyAlignment="1">
      <alignment horizontal="right"/>
    </xf>
    <xf numFmtId="0" fontId="2" fillId="0" borderId="0" xfId="0" applyFont="1">
      <alignment vertical="center"/>
    </xf>
    <xf numFmtId="177" fontId="1" fillId="0" borderId="0" xfId="3" applyNumberFormat="1" applyFont="1">
      <alignment vertical="center"/>
    </xf>
    <xf numFmtId="0" fontId="2" fillId="0" borderId="15" xfId="0" applyFont="1" applyBorder="1">
      <alignment vertical="center"/>
    </xf>
    <xf numFmtId="176" fontId="13" fillId="0" borderId="5" xfId="0" applyNumberFormat="1" applyFont="1" applyBorder="1" applyAlignment="1">
      <alignment horizontal="center" vertical="center"/>
    </xf>
    <xf numFmtId="177" fontId="4" fillId="0" borderId="0" xfId="1" applyNumberFormat="1" applyFont="1">
      <alignment vertical="center"/>
    </xf>
    <xf numFmtId="177" fontId="14" fillId="0" borderId="0" xfId="0" applyNumberFormat="1" applyFont="1" applyAlignment="1">
      <alignment horizontal="center" vertical="center"/>
    </xf>
    <xf numFmtId="180" fontId="7" fillId="0" borderId="16" xfId="0" applyNumberFormat="1" applyFont="1" applyBorder="1" applyAlignment="1">
      <alignment horizontal="center" vertical="center"/>
    </xf>
    <xf numFmtId="3" fontId="15" fillId="0" borderId="16" xfId="0" applyNumberFormat="1" applyFont="1" applyBorder="1" applyAlignment="1">
      <alignment horizontal="center" vertical="center"/>
    </xf>
    <xf numFmtId="180" fontId="4" fillId="0" borderId="0" xfId="1" applyNumberFormat="1" applyFont="1" applyFill="1" applyBorder="1">
      <alignment vertical="center"/>
    </xf>
    <xf numFmtId="0" fontId="2" fillId="2" borderId="17" xfId="0" applyFont="1" applyFill="1" applyBorder="1">
      <alignment vertical="center"/>
    </xf>
    <xf numFmtId="179" fontId="1" fillId="0" borderId="0" xfId="3" applyNumberFormat="1" applyFont="1">
      <alignment vertical="center"/>
    </xf>
    <xf numFmtId="180" fontId="2" fillId="0" borderId="0" xfId="1" applyNumberFormat="1" applyFont="1" applyFill="1" applyBorder="1">
      <alignment vertical="center"/>
    </xf>
    <xf numFmtId="176" fontId="13" fillId="0" borderId="8" xfId="0" applyNumberFormat="1" applyFont="1" applyBorder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178" fontId="11" fillId="0" borderId="0" xfId="51" applyNumberFormat="1" applyFont="1" applyAlignment="1">
      <alignment horizontal="right"/>
    </xf>
    <xf numFmtId="0" fontId="16" fillId="0" borderId="0" xfId="0" applyFont="1" applyAlignment="1">
      <alignment vertical="center" wrapText="1"/>
    </xf>
    <xf numFmtId="180" fontId="1" fillId="0" borderId="0" xfId="0" applyNumberFormat="1" applyFont="1">
      <alignment vertical="center"/>
    </xf>
    <xf numFmtId="0" fontId="17" fillId="7" borderId="18" xfId="0" applyFont="1" applyFill="1" applyBorder="1" applyAlignment="1">
      <alignment horizontal="center" vertical="center" wrapText="1" readingOrder="1"/>
    </xf>
    <xf numFmtId="0" fontId="18" fillId="7" borderId="18" xfId="0" applyFont="1" applyFill="1" applyBorder="1" applyAlignment="1">
      <alignment horizontal="center" vertical="center" wrapText="1" readingOrder="1"/>
    </xf>
    <xf numFmtId="0" fontId="19" fillId="8" borderId="5" xfId="0" applyFont="1" applyFill="1" applyBorder="1" applyAlignment="1">
      <alignment horizontal="center"/>
    </xf>
    <xf numFmtId="0" fontId="19" fillId="8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0" fillId="9" borderId="19" xfId="0" applyFont="1" applyFill="1" applyBorder="1" applyAlignment="1">
      <alignment horizontal="center" vertical="center" wrapText="1" readingOrder="1"/>
    </xf>
    <xf numFmtId="176" fontId="4" fillId="9" borderId="18" xfId="0" applyNumberFormat="1" applyFont="1" applyFill="1" applyBorder="1" applyAlignment="1">
      <alignment horizontal="center" vertical="center" wrapText="1" readingOrder="1"/>
    </xf>
    <xf numFmtId="9" fontId="4" fillId="9" borderId="18" xfId="0" applyNumberFormat="1" applyFont="1" applyFill="1" applyBorder="1" applyAlignment="1">
      <alignment horizontal="center" vertical="center" wrapText="1" readingOrder="1"/>
    </xf>
    <xf numFmtId="0" fontId="4" fillId="9" borderId="18" xfId="0" applyFont="1" applyFill="1" applyBorder="1" applyAlignment="1">
      <alignment horizontal="center" vertical="center" wrapText="1" readingOrder="1"/>
    </xf>
    <xf numFmtId="3" fontId="4" fillId="8" borderId="5" xfId="1" applyNumberFormat="1" applyFont="1" applyFill="1" applyBorder="1" applyAlignment="1">
      <alignment horizontal="center" vertical="center" wrapText="1"/>
    </xf>
    <xf numFmtId="0" fontId="4" fillId="8" borderId="5" xfId="1" applyNumberFormat="1" applyFont="1" applyFill="1" applyBorder="1" applyAlignment="1">
      <alignment horizontal="center" vertical="center" wrapText="1"/>
    </xf>
    <xf numFmtId="179" fontId="4" fillId="8" borderId="5" xfId="1" applyNumberFormat="1" applyFont="1" applyFill="1" applyBorder="1" applyAlignment="1">
      <alignment horizontal="center" vertical="center" wrapText="1"/>
    </xf>
    <xf numFmtId="177" fontId="14" fillId="0" borderId="5" xfId="0" applyNumberFormat="1" applyFont="1" applyBorder="1" applyAlignment="1">
      <alignment horizontal="center" vertical="center"/>
    </xf>
    <xf numFmtId="0" fontId="21" fillId="10" borderId="20" xfId="0" applyFont="1" applyFill="1" applyBorder="1" applyAlignment="1">
      <alignment horizontal="center" vertical="center" wrapText="1" readingOrder="1"/>
    </xf>
    <xf numFmtId="176" fontId="4" fillId="10" borderId="19" xfId="0" applyNumberFormat="1" applyFont="1" applyFill="1" applyBorder="1" applyAlignment="1">
      <alignment horizontal="center" vertical="center" wrapText="1" readingOrder="1"/>
    </xf>
    <xf numFmtId="9" fontId="4" fillId="10" borderId="19" xfId="0" applyNumberFormat="1" applyFont="1" applyFill="1" applyBorder="1" applyAlignment="1">
      <alignment horizontal="center" vertical="center" wrapText="1" readingOrder="1"/>
    </xf>
    <xf numFmtId="0" fontId="4" fillId="10" borderId="19" xfId="0" applyFont="1" applyFill="1" applyBorder="1" applyAlignment="1">
      <alignment horizontal="center" vertical="center" wrapText="1" readingOrder="1"/>
    </xf>
    <xf numFmtId="177" fontId="22" fillId="0" borderId="5" xfId="0" applyNumberFormat="1" applyFont="1" applyBorder="1" applyAlignment="1">
      <alignment horizontal="center" vertical="center"/>
    </xf>
    <xf numFmtId="0" fontId="21" fillId="11" borderId="20" xfId="0" applyFont="1" applyFill="1" applyBorder="1" applyAlignment="1">
      <alignment horizontal="center" vertical="center" wrapText="1" readingOrder="1"/>
    </xf>
    <xf numFmtId="176" fontId="4" fillId="11" borderId="20" xfId="0" applyNumberFormat="1" applyFont="1" applyFill="1" applyBorder="1" applyAlignment="1">
      <alignment horizontal="center" vertical="center" wrapText="1" readingOrder="1"/>
    </xf>
    <xf numFmtId="9" fontId="4" fillId="11" borderId="20" xfId="0" applyNumberFormat="1" applyFont="1" applyFill="1" applyBorder="1" applyAlignment="1">
      <alignment horizontal="center" vertical="center" wrapText="1" readingOrder="1"/>
    </xf>
    <xf numFmtId="0" fontId="4" fillId="11" borderId="20" xfId="0" applyFont="1" applyFill="1" applyBorder="1" applyAlignment="1">
      <alignment horizontal="center" vertical="center" wrapText="1" readingOrder="1"/>
    </xf>
    <xf numFmtId="176" fontId="4" fillId="10" borderId="20" xfId="0" applyNumberFormat="1" applyFont="1" applyFill="1" applyBorder="1" applyAlignment="1">
      <alignment horizontal="center" vertical="center" wrapText="1" readingOrder="1"/>
    </xf>
    <xf numFmtId="9" fontId="4" fillId="10" borderId="20" xfId="0" applyNumberFormat="1" applyFont="1" applyFill="1" applyBorder="1" applyAlignment="1">
      <alignment horizontal="center" vertical="center" wrapText="1" readingOrder="1"/>
    </xf>
    <xf numFmtId="0" fontId="4" fillId="10" borderId="20" xfId="0" applyFont="1" applyFill="1" applyBorder="1" applyAlignment="1">
      <alignment horizontal="center" vertical="center" wrapText="1" readingOrder="1"/>
    </xf>
    <xf numFmtId="0" fontId="23" fillId="9" borderId="20" xfId="0" applyFont="1" applyFill="1" applyBorder="1" applyAlignment="1">
      <alignment horizontal="center" vertical="center" wrapText="1" readingOrder="1"/>
    </xf>
    <xf numFmtId="176" fontId="2" fillId="9" borderId="20" xfId="0" applyNumberFormat="1" applyFont="1" applyFill="1" applyBorder="1" applyAlignment="1">
      <alignment horizontal="center" vertical="center" wrapText="1" readingOrder="1"/>
    </xf>
    <xf numFmtId="9" fontId="2" fillId="9" borderId="20" xfId="0" applyNumberFormat="1" applyFont="1" applyFill="1" applyBorder="1" applyAlignment="1">
      <alignment horizontal="center" vertical="center" wrapText="1" readingOrder="1"/>
    </xf>
    <xf numFmtId="0" fontId="2" fillId="9" borderId="20" xfId="0" applyFont="1" applyFill="1" applyBorder="1" applyAlignment="1">
      <alignment horizontal="center" vertical="center" wrapText="1" readingOrder="1"/>
    </xf>
    <xf numFmtId="0" fontId="24" fillId="0" borderId="0" xfId="0" applyFont="1" applyAlignment="1">
      <alignment horizontal="center" vertical="center" wrapText="1" readingOrder="1"/>
    </xf>
    <xf numFmtId="10" fontId="7" fillId="9" borderId="21" xfId="0" applyNumberFormat="1" applyFont="1" applyFill="1" applyBorder="1" applyAlignment="1">
      <alignment horizontal="right" vertical="center"/>
    </xf>
    <xf numFmtId="0" fontId="7" fillId="9" borderId="21" xfId="0" applyFont="1" applyFill="1" applyBorder="1" applyAlignment="1">
      <alignment horizontal="right" vertical="center"/>
    </xf>
    <xf numFmtId="3" fontId="2" fillId="0" borderId="0" xfId="0" applyNumberFormat="1" applyFont="1" applyAlignment="1">
      <alignment horizontal="center" vertical="center" readingOrder="1"/>
    </xf>
    <xf numFmtId="0" fontId="25" fillId="0" borderId="0" xfId="0" applyFont="1" applyAlignment="1">
      <alignment horizontal="center" vertical="center" wrapText="1" readingOrder="1"/>
    </xf>
    <xf numFmtId="3" fontId="12" fillId="0" borderId="0" xfId="0" applyNumberFormat="1" applyFont="1">
      <alignment vertical="center"/>
    </xf>
    <xf numFmtId="0" fontId="21" fillId="7" borderId="18" xfId="0" applyFont="1" applyFill="1" applyBorder="1" applyAlignment="1">
      <alignment horizontal="center" vertical="center" wrapText="1" readingOrder="1"/>
    </xf>
    <xf numFmtId="0" fontId="26" fillId="7" borderId="18" xfId="0" applyFont="1" applyFill="1" applyBorder="1" applyAlignment="1">
      <alignment horizontal="center" vertical="center" wrapText="1" readingOrder="1"/>
    </xf>
    <xf numFmtId="0" fontId="21" fillId="10" borderId="19" xfId="0" applyFont="1" applyFill="1" applyBorder="1" applyAlignment="1">
      <alignment horizontal="center" vertical="center" wrapText="1" readingOrder="1"/>
    </xf>
    <xf numFmtId="0" fontId="27" fillId="10" borderId="20" xfId="0" applyFont="1" applyFill="1" applyBorder="1" applyAlignment="1">
      <alignment horizontal="center" vertical="center" wrapText="1" readingOrder="1"/>
    </xf>
    <xf numFmtId="0" fontId="28" fillId="10" borderId="22" xfId="0" applyFont="1" applyFill="1" applyBorder="1" applyAlignment="1">
      <alignment horizontal="center" vertical="center" wrapText="1" readingOrder="1"/>
    </xf>
    <xf numFmtId="0" fontId="29" fillId="10" borderId="22" xfId="0" applyFont="1" applyFill="1" applyBorder="1" applyAlignment="1">
      <alignment horizontal="center" vertical="center" wrapText="1" readingOrder="1"/>
    </xf>
    <xf numFmtId="0" fontId="27" fillId="10" borderId="19" xfId="0" applyFont="1" applyFill="1" applyBorder="1" applyAlignment="1">
      <alignment horizontal="center" vertical="center" wrapText="1" readingOrder="1"/>
    </xf>
    <xf numFmtId="3" fontId="4" fillId="10" borderId="19" xfId="0" applyNumberFormat="1" applyFont="1" applyFill="1" applyBorder="1" applyAlignment="1">
      <alignment horizontal="center" vertical="center" wrapText="1" readingOrder="1"/>
    </xf>
    <xf numFmtId="3" fontId="4" fillId="9" borderId="18" xfId="0" applyNumberFormat="1" applyFont="1" applyFill="1" applyBorder="1" applyAlignment="1">
      <alignment horizontal="center" vertical="center" wrapText="1" readingOrder="1"/>
    </xf>
    <xf numFmtId="0" fontId="28" fillId="11" borderId="20" xfId="0" applyFont="1" applyFill="1" applyBorder="1" applyAlignment="1">
      <alignment horizontal="center" vertical="center" wrapText="1" readingOrder="1"/>
    </xf>
    <xf numFmtId="0" fontId="28" fillId="12" borderId="23" xfId="0" applyFont="1" applyFill="1" applyBorder="1" applyAlignment="1">
      <alignment horizontal="center" vertical="center" wrapText="1" readingOrder="1"/>
    </xf>
    <xf numFmtId="0" fontId="29" fillId="12" borderId="23" xfId="0" applyFont="1" applyFill="1" applyBorder="1" applyAlignment="1">
      <alignment horizontal="center" vertical="center" wrapText="1" readingOrder="1"/>
    </xf>
    <xf numFmtId="0" fontId="27" fillId="11" borderId="20" xfId="0" applyFont="1" applyFill="1" applyBorder="1" applyAlignment="1">
      <alignment horizontal="center" vertical="center" wrapText="1" readingOrder="1"/>
    </xf>
    <xf numFmtId="3" fontId="4" fillId="11" borderId="20" xfId="0" applyNumberFormat="1" applyFont="1" applyFill="1" applyBorder="1" applyAlignment="1">
      <alignment horizontal="center" vertical="center" wrapText="1" readingOrder="1"/>
    </xf>
    <xf numFmtId="3" fontId="4" fillId="10" borderId="20" xfId="0" applyNumberFormat="1" applyFont="1" applyFill="1" applyBorder="1" applyAlignment="1">
      <alignment horizontal="center" vertical="center" wrapText="1" readingOrder="1"/>
    </xf>
    <xf numFmtId="0" fontId="30" fillId="10" borderId="19" xfId="0" applyFont="1" applyFill="1" applyBorder="1" applyAlignment="1">
      <alignment horizontal="center" vertical="center" wrapText="1" readingOrder="1"/>
    </xf>
    <xf numFmtId="0" fontId="12" fillId="0" borderId="0" xfId="0" applyFont="1">
      <alignment vertical="center"/>
    </xf>
    <xf numFmtId="10" fontId="31" fillId="0" borderId="0" xfId="0" applyNumberFormat="1" applyFont="1">
      <alignment vertical="center"/>
    </xf>
    <xf numFmtId="0" fontId="28" fillId="10" borderId="20" xfId="0" applyFont="1" applyFill="1" applyBorder="1" applyAlignment="1">
      <alignment horizontal="center" vertical="center" wrapText="1" readingOrder="1"/>
    </xf>
    <xf numFmtId="0" fontId="32" fillId="10" borderId="22" xfId="0" applyFont="1" applyFill="1" applyBorder="1" applyAlignment="1">
      <alignment horizontal="center" vertical="center" wrapText="1" readingOrder="1"/>
    </xf>
    <xf numFmtId="0" fontId="33" fillId="0" borderId="0" xfId="0" applyFont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 readingOrder="1"/>
    </xf>
    <xf numFmtId="0" fontId="34" fillId="10" borderId="22" xfId="0" applyFont="1" applyFill="1" applyBorder="1" applyAlignment="1">
      <alignment horizontal="center" vertical="center" wrapText="1" readingOrder="1"/>
    </xf>
    <xf numFmtId="0" fontId="35" fillId="12" borderId="23" xfId="0" applyFont="1" applyFill="1" applyBorder="1" applyAlignment="1">
      <alignment horizontal="center" vertical="center" wrapText="1" readingOrder="1"/>
    </xf>
    <xf numFmtId="0" fontId="23" fillId="10" borderId="24" xfId="0" applyFont="1" applyFill="1" applyBorder="1" applyAlignment="1">
      <alignment horizontal="center" vertical="center" wrapText="1" readingOrder="1"/>
    </xf>
    <xf numFmtId="0" fontId="23" fillId="10" borderId="25" xfId="0" applyFont="1" applyFill="1" applyBorder="1" applyAlignment="1">
      <alignment horizontal="center" vertical="center" wrapText="1" readingOrder="1"/>
    </xf>
    <xf numFmtId="0" fontId="7" fillId="9" borderId="21" xfId="0" applyFont="1" applyFill="1" applyBorder="1" applyAlignment="1">
      <alignment horizontal="left" vertical="center"/>
    </xf>
    <xf numFmtId="3" fontId="7" fillId="9" borderId="21" xfId="0" applyNumberFormat="1" applyFont="1" applyFill="1" applyBorder="1" applyAlignment="1">
      <alignment horizontal="right" vertical="center"/>
    </xf>
    <xf numFmtId="0" fontId="36" fillId="9" borderId="21" xfId="0" applyFont="1" applyFill="1" applyBorder="1" applyAlignment="1">
      <alignment horizontal="left" vertical="center"/>
    </xf>
    <xf numFmtId="176" fontId="12" fillId="9" borderId="21" xfId="0" applyNumberFormat="1" applyFont="1" applyFill="1" applyBorder="1" applyAlignment="1">
      <alignment horizontal="right" vertical="center"/>
    </xf>
    <xf numFmtId="9" fontId="31" fillId="9" borderId="21" xfId="0" applyNumberFormat="1" applyFont="1" applyFill="1" applyBorder="1" applyAlignment="1">
      <alignment horizontal="right" vertical="center"/>
    </xf>
    <xf numFmtId="0" fontId="12" fillId="9" borderId="21" xfId="0" applyFont="1" applyFill="1" applyBorder="1" applyAlignment="1">
      <alignment horizontal="left" vertical="center"/>
    </xf>
    <xf numFmtId="0" fontId="12" fillId="9" borderId="26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 wrapText="1" readingOrder="1"/>
    </xf>
    <xf numFmtId="0" fontId="2" fillId="13" borderId="10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3" fontId="7" fillId="0" borderId="5" xfId="0" applyNumberFormat="1" applyFont="1" applyBorder="1" applyAlignment="1">
      <alignment horizontal="center" vertical="center" wrapText="1" readingOrder="1"/>
    </xf>
    <xf numFmtId="9" fontId="0" fillId="0" borderId="0" xfId="0" applyNumberFormat="1">
      <alignment vertical="center"/>
    </xf>
    <xf numFmtId="0" fontId="2" fillId="0" borderId="7" xfId="0" applyFont="1" applyBorder="1" applyAlignment="1">
      <alignment horizontal="center" vertical="center" wrapText="1" readingOrder="1"/>
    </xf>
    <xf numFmtId="3" fontId="13" fillId="0" borderId="8" xfId="0" applyNumberFormat="1" applyFont="1" applyBorder="1" applyAlignment="1">
      <alignment horizontal="center" vertical="center" wrapText="1" readingOrder="1"/>
    </xf>
    <xf numFmtId="4" fontId="12" fillId="9" borderId="21" xfId="0" applyNumberFormat="1" applyFont="1" applyFill="1" applyBorder="1" applyAlignment="1">
      <alignment horizontal="right" vertical="center"/>
    </xf>
    <xf numFmtId="10" fontId="37" fillId="9" borderId="21" xfId="0" applyNumberFormat="1" applyFont="1" applyFill="1" applyBorder="1" applyAlignment="1">
      <alignment horizontal="right" vertical="center"/>
    </xf>
    <xf numFmtId="3" fontId="12" fillId="9" borderId="21" xfId="0" applyNumberFormat="1" applyFont="1" applyFill="1" applyBorder="1" applyAlignment="1">
      <alignment horizontal="right"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36" fillId="9" borderId="16" xfId="0" applyFont="1" applyFill="1" applyBorder="1" applyAlignment="1">
      <alignment horizontal="left" vertical="center"/>
    </xf>
    <xf numFmtId="4" fontId="12" fillId="9" borderId="16" xfId="0" applyNumberFormat="1" applyFont="1" applyFill="1" applyBorder="1" applyAlignment="1">
      <alignment horizontal="right" vertical="center"/>
    </xf>
    <xf numFmtId="10" fontId="37" fillId="9" borderId="16" xfId="0" applyNumberFormat="1" applyFont="1" applyFill="1" applyBorder="1" applyAlignment="1">
      <alignment horizontal="right" vertical="center"/>
    </xf>
    <xf numFmtId="0" fontId="2" fillId="13" borderId="27" xfId="0" applyFont="1" applyFill="1" applyBorder="1" applyAlignment="1">
      <alignment horizontal="center" vertical="center" wrapText="1" readingOrder="1"/>
    </xf>
    <xf numFmtId="0" fontId="2" fillId="13" borderId="28" xfId="0" applyFont="1" applyFill="1" applyBorder="1" applyAlignment="1">
      <alignment horizontal="center" vertical="center" wrapText="1" readingOrder="1"/>
    </xf>
    <xf numFmtId="0" fontId="38" fillId="9" borderId="21" xfId="0" applyFont="1" applyFill="1" applyBorder="1" applyAlignment="1">
      <alignment horizontal="right" vertical="center"/>
    </xf>
    <xf numFmtId="0" fontId="4" fillId="0" borderId="29" xfId="0" applyFont="1" applyBorder="1" applyAlignment="1">
      <alignment horizontal="center" vertical="center" wrapText="1" readingOrder="1"/>
    </xf>
    <xf numFmtId="3" fontId="7" fillId="0" borderId="30" xfId="0" applyNumberFormat="1" applyFont="1" applyBorder="1" applyAlignment="1">
      <alignment horizontal="center" vertical="center" wrapText="1" readingOrder="1"/>
    </xf>
    <xf numFmtId="3" fontId="7" fillId="0" borderId="31" xfId="0" applyNumberFormat="1" applyFont="1" applyBorder="1" applyAlignment="1">
      <alignment horizontal="center" vertical="center" wrapText="1" readingOrder="1"/>
    </xf>
    <xf numFmtId="0" fontId="4" fillId="0" borderId="32" xfId="0" applyFont="1" applyBorder="1" applyAlignment="1">
      <alignment horizontal="center" vertical="center" wrapText="1" readingOrder="1"/>
    </xf>
    <xf numFmtId="3" fontId="38" fillId="9" borderId="21" xfId="0" applyNumberFormat="1" applyFont="1" applyFill="1" applyBorder="1" applyAlignment="1">
      <alignment horizontal="right" vertical="center"/>
    </xf>
    <xf numFmtId="0" fontId="12" fillId="9" borderId="16" xfId="0" applyFont="1" applyFill="1" applyBorder="1" applyAlignment="1">
      <alignment horizontal="left" vertical="center"/>
    </xf>
    <xf numFmtId="3" fontId="39" fillId="9" borderId="16" xfId="0" applyNumberFormat="1" applyFont="1" applyFill="1" applyBorder="1" applyAlignment="1">
      <alignment horizontal="right" vertical="center"/>
    </xf>
    <xf numFmtId="0" fontId="2" fillId="0" borderId="33" xfId="0" applyFont="1" applyBorder="1" applyAlignment="1">
      <alignment horizontal="center" vertical="center" wrapText="1" readingOrder="1"/>
    </xf>
    <xf numFmtId="3" fontId="13" fillId="0" borderId="34" xfId="0" applyNumberFormat="1" applyFont="1" applyBorder="1" applyAlignment="1">
      <alignment horizontal="center" vertical="center" wrapText="1" readingOrder="1"/>
    </xf>
    <xf numFmtId="3" fontId="7" fillId="0" borderId="35" xfId="0" applyNumberFormat="1" applyFont="1" applyBorder="1" applyAlignment="1">
      <alignment horizontal="center" vertical="center" wrapText="1" readingOrder="1"/>
    </xf>
    <xf numFmtId="0" fontId="12" fillId="9" borderId="0" xfId="0" applyFont="1" applyFill="1" applyAlignment="1">
      <alignment horizontal="left" vertical="center"/>
    </xf>
    <xf numFmtId="3" fontId="12" fillId="9" borderId="16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 wrapText="1" readingOrder="1"/>
    </xf>
    <xf numFmtId="0" fontId="2" fillId="13" borderId="11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14" borderId="36" xfId="0" applyFont="1" applyFill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14" borderId="37" xfId="0" applyFont="1" applyFill="1" applyBorder="1" applyAlignment="1">
      <alignment horizontal="center" vertical="center" wrapText="1" readingOrder="1"/>
    </xf>
    <xf numFmtId="0" fontId="4" fillId="14" borderId="14" xfId="0" applyFont="1" applyFill="1" applyBorder="1" applyAlignment="1">
      <alignment horizontal="center" vertical="center" wrapText="1" readingOrder="1"/>
    </xf>
    <xf numFmtId="0" fontId="4" fillId="4" borderId="36" xfId="0" applyFont="1" applyFill="1" applyBorder="1" applyAlignment="1">
      <alignment horizontal="center" vertical="center" wrapText="1" readingOrder="1"/>
    </xf>
    <xf numFmtId="0" fontId="4" fillId="4" borderId="38" xfId="0" applyFont="1" applyFill="1" applyBorder="1" applyAlignment="1">
      <alignment horizontal="center"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3" fontId="7" fillId="0" borderId="8" xfId="0" applyNumberFormat="1" applyFont="1" applyBorder="1" applyAlignment="1">
      <alignment horizontal="center" vertical="center" wrapText="1" readingOrder="1"/>
    </xf>
    <xf numFmtId="3" fontId="12" fillId="9" borderId="0" xfId="0" applyNumberFormat="1" applyFont="1" applyFill="1" applyAlignment="1">
      <alignment horizontal="right" vertical="center"/>
    </xf>
    <xf numFmtId="10" fontId="37" fillId="9" borderId="0" xfId="0" applyNumberFormat="1" applyFont="1" applyFill="1" applyAlignment="1">
      <alignment horizontal="righ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常规 2 3 24" xfId="51"/>
    <cellStyle name="常规 5 2" xf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117"/>
  <sheetViews>
    <sheetView tabSelected="1" topLeftCell="A7" workbookViewId="0">
      <selection activeCell="C24" sqref="C24"/>
    </sheetView>
  </sheetViews>
  <sheetFormatPr defaultColWidth="9" defaultRowHeight="16.8"/>
  <cols>
    <col min="1" max="1" width="19.25" customWidth="1"/>
    <col min="2" max="2" width="17.375" customWidth="1"/>
    <col min="3" max="3" width="28.375" customWidth="1"/>
    <col min="4" max="4" width="23.625" customWidth="1"/>
    <col min="5" max="5" width="23" customWidth="1"/>
    <col min="6" max="6" width="18.875" customWidth="1"/>
    <col min="7" max="7" width="15.5" customWidth="1"/>
    <col min="8" max="8" width="19.8455882352941" customWidth="1"/>
    <col min="9" max="9" width="18" customWidth="1"/>
    <col min="10" max="10" width="16.375" customWidth="1"/>
    <col min="11" max="11" width="16.5" customWidth="1"/>
    <col min="12" max="12" width="14.875" customWidth="1"/>
    <col min="13" max="13" width="14.75" customWidth="1"/>
    <col min="14" max="19" width="12.75" customWidth="1"/>
    <col min="20" max="20" width="13.625" customWidth="1"/>
    <col min="21" max="21" width="11" customWidth="1"/>
  </cols>
  <sheetData>
    <row r="1" s="1" customFormat="1" ht="17.55"/>
    <row r="2" s="1" customFormat="1" ht="18" spans="1:10">
      <c r="B2" s="2" t="s">
        <v>0</v>
      </c>
      <c r="C2" s="3" t="s">
        <v>1</v>
      </c>
      <c r="D2" s="4" t="s">
        <v>2</v>
      </c>
      <c r="E2" s="3" t="s">
        <v>3</v>
      </c>
      <c r="F2" s="5" t="s">
        <v>4</v>
      </c>
      <c r="G2" s="6"/>
      <c r="H2" s="5" t="s">
        <v>5</v>
      </c>
      <c r="I2" s="5" t="s">
        <v>6</v>
      </c>
      <c r="J2" s="6" t="s">
        <v>7</v>
      </c>
    </row>
    <row r="3" s="1" customFormat="1" ht="17.6" spans="1:10">
      <c r="A3" s="7"/>
      <c r="B3" s="8" t="s">
        <v>8</v>
      </c>
      <c r="C3" s="9"/>
      <c r="D3" s="9"/>
      <c r="E3" s="10"/>
      <c r="F3" s="9"/>
      <c r="G3" s="10"/>
      <c r="H3" s="9"/>
      <c r="I3" s="9"/>
      <c r="J3" s="11"/>
    </row>
    <row r="4" s="1" customFormat="1" ht="17.6" spans="1:10">
      <c r="A4" s="7"/>
      <c r="B4" s="8" t="s">
        <v>9</v>
      </c>
      <c r="C4" s="9"/>
      <c r="D4" s="9"/>
      <c r="E4" s="10"/>
      <c r="F4" s="12"/>
      <c r="G4" s="10"/>
      <c r="H4" s="9"/>
      <c r="I4" s="9"/>
      <c r="J4" s="11"/>
    </row>
    <row r="5" s="1" customFormat="1" ht="17.6" spans="1:10">
      <c r="A5" s="7"/>
      <c r="B5" s="8" t="s">
        <v>10</v>
      </c>
      <c r="C5" s="9"/>
      <c r="D5" s="9"/>
      <c r="E5" s="10"/>
      <c r="F5" s="12"/>
      <c r="G5" s="10"/>
      <c r="H5" s="9"/>
      <c r="I5" s="9"/>
      <c r="J5" s="11"/>
    </row>
    <row r="6" s="1" customFormat="1" ht="18.35" spans="1:10">
      <c r="A6" s="13"/>
      <c r="B6" s="14" t="s">
        <v>11</v>
      </c>
      <c r="C6" s="15">
        <f>SUM(C3:C5)</f>
        <v>0</v>
      </c>
      <c r="D6" s="15">
        <f>SUM(D3:D5)</f>
        <v>0</v>
      </c>
      <c r="E6" s="16" t="e">
        <f>C6/D6-1</f>
        <v>#DIV/0!</v>
      </c>
      <c r="F6" s="17">
        <f>SUM(F3:F5)</f>
        <v>0</v>
      </c>
      <c r="G6" s="16" t="e">
        <f t="shared" ref="G6" si="0">C6/F6-1</f>
        <v>#DIV/0!</v>
      </c>
      <c r="H6" s="17">
        <f>SUM(H3:H5)</f>
        <v>0</v>
      </c>
      <c r="I6" s="17">
        <f>SUM(I3:I5)</f>
        <v>0</v>
      </c>
      <c r="J6" s="18" t="e">
        <f t="shared" ref="J6" si="1">H6/I6-1</f>
        <v>#DIV/0!</v>
      </c>
    </row>
    <row r="7" s="1" customFormat="1" ht="17.6" spans="1:10">
      <c r="A7" s="19"/>
      <c r="B7" s="19"/>
      <c r="C7" s="19"/>
      <c r="D7" s="20"/>
      <c r="E7" s="21"/>
      <c r="F7" s="22"/>
      <c r="G7" s="23"/>
      <c r="I7" s="24"/>
    </row>
    <row r="8" s="1" customFormat="1" ht="17.6" spans="1:10">
      <c r="A8" s="25"/>
      <c r="B8" s="26" t="s">
        <v>0</v>
      </c>
      <c r="C8" s="27" t="str">
        <f>C2</f>
        <v>7.6-7.12</v>
      </c>
      <c r="D8" s="27" t="s">
        <v>12</v>
      </c>
      <c r="E8" s="27" t="s">
        <v>3</v>
      </c>
      <c r="F8" s="27" t="s">
        <v>13</v>
      </c>
      <c r="G8" s="27" t="s">
        <v>14</v>
      </c>
      <c r="H8" s="28" t="s">
        <v>15</v>
      </c>
      <c r="I8" s="28" t="s">
        <v>16</v>
      </c>
    </row>
    <row r="9" s="1" customFormat="1" ht="17.6" spans="1:10">
      <c r="B9" s="29" t="s">
        <v>17</v>
      </c>
      <c r="C9" s="30"/>
      <c r="D9" s="30"/>
      <c r="E9" s="31"/>
      <c r="F9" s="30"/>
      <c r="G9" s="30" t="e">
        <f>C9/F9</f>
        <v>#DIV/0!</v>
      </c>
      <c r="H9" s="30"/>
      <c r="I9" s="32" t="e">
        <f>C9/H9</f>
        <v>#DIV/0!</v>
      </c>
    </row>
    <row r="10" s="1" customFormat="1" ht="17.6" spans="1:10">
      <c r="A10" s="33"/>
      <c r="B10" s="34" t="s">
        <v>18</v>
      </c>
      <c r="C10" s="35"/>
      <c r="D10" s="36"/>
      <c r="E10" s="37"/>
      <c r="F10" s="30"/>
      <c r="G10" s="30" t="e">
        <f>D9/F10</f>
        <v>#DIV/0!</v>
      </c>
      <c r="H10" s="30"/>
      <c r="I10" s="38" t="e">
        <f>D9/H10</f>
        <v>#DIV/0!</v>
      </c>
    </row>
    <row r="11" s="1" customFormat="1" ht="17.6" spans="1:10">
      <c r="A11" s="38"/>
      <c r="B11" s="39"/>
      <c r="C11" s="40"/>
      <c r="D11" s="36"/>
      <c r="E11" s="41"/>
      <c r="F11" s="37"/>
      <c r="G11" s="37"/>
      <c r="H11" s="32" t="e">
        <f>H9/H10-1</f>
        <v>#DIV/0!</v>
      </c>
      <c r="I11" s="42"/>
    </row>
    <row r="12" s="1" customFormat="1" ht="17.6" spans="1:10">
      <c r="B12" s="26" t="s">
        <v>0</v>
      </c>
      <c r="C12" s="27" t="str">
        <f>C2</f>
        <v>7.6-7.12</v>
      </c>
      <c r="D12" s="27" t="str">
        <f>D8</f>
        <v>6.29-7.5</v>
      </c>
      <c r="E12" s="27" t="str">
        <f>E8</f>
        <v>WOW</v>
      </c>
      <c r="F12" s="27" t="str">
        <f>F8</f>
        <v>交易笔数</v>
      </c>
      <c r="G12" s="27" t="s">
        <v>14</v>
      </c>
      <c r="H12" s="28" t="s">
        <v>15</v>
      </c>
      <c r="I12" s="28" t="s">
        <v>16</v>
      </c>
    </row>
    <row r="13" s="1" customFormat="1" ht="18.35" spans="1:10">
      <c r="B13" s="29" t="s">
        <v>19</v>
      </c>
      <c r="C13" s="30"/>
      <c r="D13" s="30"/>
      <c r="E13" s="31"/>
      <c r="F13" s="30"/>
      <c r="G13" s="30" t="e">
        <f>C13/F13</f>
        <v>#DIV/0!</v>
      </c>
      <c r="H13" s="30"/>
      <c r="I13" s="32" t="e">
        <f>C13/H13</f>
        <v>#DIV/0!</v>
      </c>
    </row>
    <row r="14" s="1" customFormat="1" ht="17.6" spans="1:10">
      <c r="A14" s="40"/>
      <c r="B14" s="34" t="s">
        <v>18</v>
      </c>
      <c r="C14" s="35"/>
      <c r="D14" s="36"/>
      <c r="E14" s="37"/>
      <c r="F14" s="30"/>
      <c r="G14" s="30" t="e">
        <f>D13/F14</f>
        <v>#DIV/0!</v>
      </c>
      <c r="H14" s="30"/>
      <c r="I14" s="38" t="e">
        <f>D13/H14</f>
        <v>#DIV/0!</v>
      </c>
    </row>
    <row r="15" s="1" customFormat="1" ht="17.6" spans="1:10">
      <c r="B15" s="34"/>
      <c r="C15" s="40"/>
      <c r="D15" s="36"/>
      <c r="E15" s="41"/>
      <c r="F15" s="37"/>
      <c r="G15" s="43"/>
      <c r="H15" s="32" t="e">
        <f>H13/H14-1</f>
        <v>#DIV/0!</v>
      </c>
      <c r="I15" s="42"/>
    </row>
    <row r="16" s="1" customFormat="1" ht="17.6" spans="1:10">
      <c r="B16" s="26" t="s">
        <v>0</v>
      </c>
      <c r="C16" s="27" t="str">
        <f>C2</f>
        <v>7.6-7.12</v>
      </c>
      <c r="D16" s="27" t="str">
        <f>D8</f>
        <v>6.29-7.5</v>
      </c>
      <c r="E16" s="27" t="str">
        <f>E8</f>
        <v>WOW</v>
      </c>
      <c r="F16" s="27" t="str">
        <f>F8</f>
        <v>交易笔数</v>
      </c>
      <c r="G16" s="27" t="s">
        <v>14</v>
      </c>
      <c r="H16" s="28" t="s">
        <v>15</v>
      </c>
      <c r="I16" s="28" t="s">
        <v>16</v>
      </c>
    </row>
    <row r="17" s="1" customFormat="1" ht="17.6" spans="1:21">
      <c r="B17" s="29" t="s">
        <v>20</v>
      </c>
      <c r="C17" s="30"/>
      <c r="D17" s="30"/>
      <c r="E17" s="31"/>
      <c r="F17" s="30"/>
      <c r="G17" s="30" t="e">
        <f>C17/F17</f>
        <v>#DIV/0!</v>
      </c>
      <c r="H17" s="30"/>
      <c r="I17" s="32" t="e">
        <f>C17/H17</f>
        <v>#DIV/0!</v>
      </c>
    </row>
    <row r="18" s="1" customFormat="1" ht="17.6" spans="1:21">
      <c r="A18" s="7"/>
      <c r="B18" s="34" t="s">
        <v>18</v>
      </c>
      <c r="C18" s="35"/>
      <c r="D18" s="36"/>
      <c r="E18" s="37"/>
      <c r="F18" s="30"/>
      <c r="G18" s="30" t="e">
        <f>D17/F18</f>
        <v>#DIV/0!</v>
      </c>
      <c r="H18" s="30"/>
      <c r="I18" s="38" t="e">
        <f>D17/H18</f>
        <v>#DIV/0!</v>
      </c>
    </row>
    <row r="19" s="1" customFormat="1" ht="18.35" spans="1:21">
      <c r="A19" s="7"/>
      <c r="B19" s="34"/>
      <c r="C19" s="40"/>
      <c r="D19" s="36"/>
      <c r="E19" s="35"/>
      <c r="F19" s="37"/>
      <c r="G19" s="37"/>
      <c r="H19" s="32"/>
    </row>
    <row r="20" s="1" customFormat="1" ht="17.6" spans="1:21">
      <c r="B20" s="2" t="s">
        <v>21</v>
      </c>
      <c r="C20" s="44" t="str">
        <f>C2</f>
        <v>7.6-7.12</v>
      </c>
      <c r="D20" s="44" t="s">
        <v>22</v>
      </c>
      <c r="E20" s="45" t="s">
        <v>7</v>
      </c>
      <c r="G20" s="44" t="s">
        <v>23</v>
      </c>
      <c r="H20" s="46" t="s">
        <v>24</v>
      </c>
    </row>
    <row r="21" s="1" customFormat="1" ht="17.6" spans="1:21">
      <c r="B21" s="8" t="s">
        <v>8</v>
      </c>
      <c r="C21" s="47">
        <f>T17</f>
        <v>0</v>
      </c>
      <c r="D21" s="10" t="e">
        <f>C21/T26-1</f>
        <v>#DIV/0!</v>
      </c>
      <c r="E21" s="11" t="e">
        <f t="shared" ref="E21:E23" si="2">C21/T21-1</f>
        <v>#DIV/0!</v>
      </c>
      <c r="G21" s="9">
        <f>SUM(C21:C24)</f>
        <v>0</v>
      </c>
      <c r="H21" s="9">
        <f>T26+T27+T28</f>
        <v>0</v>
      </c>
    </row>
    <row r="22" s="1" customFormat="1" ht="17.6" spans="1:21">
      <c r="B22" s="8" t="s">
        <v>9</v>
      </c>
      <c r="C22" s="47">
        <f>T18</f>
        <v>0</v>
      </c>
      <c r="D22" s="10" t="e">
        <f>C22/T27-1</f>
        <v>#DIV/0!</v>
      </c>
      <c r="E22" s="11" t="e">
        <f t="shared" si="2"/>
        <v>#DIV/0!</v>
      </c>
    </row>
    <row r="23" s="1" customFormat="1" ht="17.6" spans="1:21">
      <c r="B23" s="8" t="s">
        <v>10</v>
      </c>
      <c r="C23" s="47">
        <f>T18</f>
        <v>0</v>
      </c>
      <c r="D23" s="10" t="e">
        <f>C23/T27-1</f>
        <v>#DIV/0!</v>
      </c>
      <c r="E23" s="11" t="e">
        <f t="shared" si="2"/>
        <v>#DIV/0!</v>
      </c>
    </row>
    <row r="24" s="1" customFormat="1" ht="18.35" spans="1:21">
      <c r="B24" s="48" t="s">
        <v>11</v>
      </c>
      <c r="C24" s="49">
        <f>T19</f>
        <v>0</v>
      </c>
      <c r="D24" s="16" t="e">
        <f>C24/T28-1</f>
        <v>#DIV/0!</v>
      </c>
      <c r="E24" s="18" t="e">
        <f>C24/T24-1</f>
        <v>#DIV/0!</v>
      </c>
      <c r="K24" s="7"/>
    </row>
    <row r="25" s="1" customFormat="1" ht="18.35" spans="1:21">
      <c r="B25" s="39"/>
      <c r="C25" s="50"/>
      <c r="D25" s="39"/>
      <c r="E25" s="39"/>
    </row>
    <row r="26" s="1" customFormat="1" ht="18" spans="1:21">
      <c r="B26" s="2" t="s">
        <v>16</v>
      </c>
      <c r="C26" s="44" t="str">
        <f>C2</f>
        <v>7.6-7.12</v>
      </c>
      <c r="D26" s="44" t="s">
        <v>25</v>
      </c>
      <c r="E26" s="45" t="s">
        <v>26</v>
      </c>
      <c r="G26" s="26" t="s">
        <v>27</v>
      </c>
      <c r="H26" s="26" t="s">
        <v>28</v>
      </c>
      <c r="I26" s="44" t="s">
        <v>29</v>
      </c>
      <c r="J26" s="44" t="s">
        <v>30</v>
      </c>
    </row>
    <row r="27" s="1" customFormat="1" ht="18.35" spans="1:21">
      <c r="B27" s="8" t="s">
        <v>8</v>
      </c>
      <c r="C27" s="51" t="e">
        <f>C3/C21</f>
        <v>#DIV/0!</v>
      </c>
      <c r="D27" s="16" t="e">
        <f t="shared" ref="D27:D29" si="3">C27-I27</f>
        <v>#DIV/0!</v>
      </c>
      <c r="E27" s="18" t="e">
        <f>C27-J27</f>
        <v>#DIV/0!</v>
      </c>
      <c r="G27" s="32" t="e">
        <f>C6/G21</f>
        <v>#DIV/0!</v>
      </c>
      <c r="H27" s="32" t="e">
        <f>D6/H21</f>
        <v>#DIV/0!</v>
      </c>
      <c r="I27" s="10" t="e">
        <f t="shared" ref="I27:I29" si="4">D3/T26</f>
        <v>#DIV/0!</v>
      </c>
      <c r="J27" s="10" t="e">
        <f>F3/T21</f>
        <v>#DIV/0!</v>
      </c>
    </row>
    <row r="28" s="1" customFormat="1" ht="18.35" spans="1:21">
      <c r="B28" s="8" t="s">
        <v>9</v>
      </c>
      <c r="C28" s="51" t="e">
        <f>C4/C22</f>
        <v>#DIV/0!</v>
      </c>
      <c r="D28" s="16" t="e">
        <f t="shared" si="3"/>
        <v>#DIV/0!</v>
      </c>
      <c r="E28" s="18" t="e">
        <f t="shared" ref="E28:E29" si="5">C28-J28</f>
        <v>#DIV/0!</v>
      </c>
      <c r="G28" s="26" t="s">
        <v>31</v>
      </c>
      <c r="I28" s="10" t="e">
        <f t="shared" si="4"/>
        <v>#DIV/0!</v>
      </c>
      <c r="J28" s="10" t="e">
        <f>F4/T22</f>
        <v>#DIV/0!</v>
      </c>
    </row>
    <row r="29" s="1" customFormat="1" ht="18.35" spans="1:21">
      <c r="B29" s="14" t="s">
        <v>10</v>
      </c>
      <c r="C29" s="52" t="e">
        <f>C5/C24</f>
        <v>#DIV/0!</v>
      </c>
      <c r="D29" s="16" t="e">
        <f t="shared" si="3"/>
        <v>#DIV/0!</v>
      </c>
      <c r="E29" s="18" t="e">
        <f t="shared" si="5"/>
        <v>#DIV/0!</v>
      </c>
      <c r="G29" s="32" t="e">
        <f>G27-H27</f>
        <v>#DIV/0!</v>
      </c>
      <c r="I29" s="10" t="e">
        <f t="shared" si="4"/>
        <v>#DIV/0!</v>
      </c>
      <c r="J29" s="10" t="e">
        <f>F5/T24</f>
        <v>#DIV/0!</v>
      </c>
      <c r="L29" s="53"/>
      <c r="M29" s="53"/>
      <c r="N29" s="53"/>
      <c r="O29" s="53"/>
      <c r="P29" s="53"/>
      <c r="Q29" s="54"/>
      <c r="R29" s="54"/>
      <c r="S29" s="54"/>
      <c r="T29" s="54"/>
    </row>
    <row r="30" s="1" customFormat="1" spans="1:21">
      <c r="F30" s="55"/>
      <c r="L30" s="53"/>
      <c r="M30" s="53"/>
      <c r="N30" s="53"/>
      <c r="O30" s="53"/>
      <c r="P30" s="53"/>
      <c r="Q30" s="53"/>
      <c r="R30" s="53"/>
      <c r="S30" s="53"/>
      <c r="T30" s="54"/>
    </row>
    <row r="31" s="1" customFormat="1" ht="17.6" spans="1:21">
      <c r="B31" s="56" t="s">
        <v>32</v>
      </c>
      <c r="C31" s="57"/>
      <c r="D31" s="1"/>
      <c r="E31" s="1"/>
      <c r="L31" s="53"/>
      <c r="M31" s="53"/>
      <c r="N31" s="53"/>
      <c r="O31" s="53"/>
      <c r="P31" s="53"/>
      <c r="Q31" s="53"/>
      <c r="R31" s="54"/>
      <c r="S31" s="54"/>
      <c r="T31" s="54"/>
      <c r="U31" s="54"/>
    </row>
    <row r="32" s="1" customFormat="1" ht="17.6" spans="1:21">
      <c r="B32" s="8" t="s">
        <v>33</v>
      </c>
      <c r="C32" s="58"/>
      <c r="D32" s="1"/>
      <c r="E32" s="1"/>
      <c r="L32" s="53"/>
      <c r="M32" s="53"/>
      <c r="N32" s="53"/>
      <c r="O32" s="53"/>
      <c r="P32" s="53"/>
      <c r="Q32" s="53"/>
      <c r="T32" s="54"/>
    </row>
    <row r="33" s="1" customFormat="1" ht="17.6" spans="2:20">
      <c r="B33" s="59" t="s">
        <v>34</v>
      </c>
      <c r="C33" s="58"/>
      <c r="D33" s="1"/>
      <c r="E33" s="1"/>
      <c r="L33" s="53"/>
      <c r="M33" s="53"/>
      <c r="N33" s="53"/>
      <c r="O33" s="53"/>
      <c r="P33" s="53"/>
      <c r="Q33" s="53"/>
      <c r="T33" s="60"/>
    </row>
    <row r="34" s="1" customFormat="1" ht="17.6" spans="2:20">
      <c r="B34" s="8" t="s">
        <v>35</v>
      </c>
      <c r="C34" s="58"/>
      <c r="D34" s="1"/>
      <c r="E34" s="1"/>
      <c r="L34" s="53"/>
      <c r="M34" s="53"/>
      <c r="N34" s="53"/>
      <c r="O34" s="53"/>
      <c r="P34" s="53"/>
      <c r="Q34" s="53"/>
      <c r="T34" s="54"/>
    </row>
    <row r="35" s="1" customFormat="1" ht="17.6" spans="2:20">
      <c r="B35" s="8" t="s">
        <v>36</v>
      </c>
      <c r="C35" s="58"/>
      <c r="D35" s="1"/>
      <c r="E35" s="1"/>
      <c r="M35" s="61"/>
      <c r="T35" s="62"/>
    </row>
    <row r="36" s="1" customFormat="1" ht="17.6" spans="2:20">
      <c r="B36" s="8" t="s">
        <v>37</v>
      </c>
      <c r="C36" s="58"/>
      <c r="D36" s="1"/>
      <c r="E36" s="1"/>
      <c r="M36" s="38"/>
      <c r="N36" s="63"/>
      <c r="O36" s="63"/>
      <c r="P36" s="64"/>
      <c r="Q36" s="64"/>
    </row>
    <row r="37" s="1" customFormat="1" ht="17.6" spans="2:20">
      <c r="B37" s="65" t="s">
        <v>11</v>
      </c>
      <c r="C37" s="66">
        <f>C32+C33+C34+C35+C36</f>
        <v>0</v>
      </c>
      <c r="M37" s="38"/>
      <c r="N37" s="63"/>
      <c r="O37" s="63"/>
      <c r="P37" s="64"/>
      <c r="Q37" s="64"/>
    </row>
    <row r="38" s="1" customFormat="1" ht="18.35" spans="2:20">
      <c r="D38" s="67"/>
      <c r="E38" s="68"/>
      <c r="F38" s="69"/>
      <c r="G38" s="70"/>
      <c r="M38" s="39"/>
      <c r="N38" s="71"/>
      <c r="O38" s="71"/>
      <c r="P38" s="64"/>
      <c r="Q38" s="64"/>
    </row>
    <row r="39" s="1" customFormat="1" ht="17.6" spans="2:20">
      <c r="B39" s="72" t="s">
        <v>38</v>
      </c>
      <c r="C39" s="5" t="s">
        <v>39</v>
      </c>
      <c r="D39" s="5" t="s">
        <v>3</v>
      </c>
      <c r="E39" s="68"/>
      <c r="F39" s="69"/>
      <c r="G39" s="70"/>
      <c r="M39" s="39"/>
      <c r="N39" s="71"/>
      <c r="O39" s="71"/>
      <c r="P39" s="73"/>
      <c r="Q39" s="73"/>
    </row>
    <row r="40" s="1" customFormat="1" ht="17.6" spans="2:20">
      <c r="B40" s="8" t="s">
        <v>33</v>
      </c>
      <c r="C40" s="58"/>
      <c r="D40" s="58"/>
      <c r="E40" s="68"/>
      <c r="F40" s="69"/>
      <c r="G40" s="70"/>
      <c r="M40" s="39"/>
      <c r="N40" s="71"/>
      <c r="O40" s="71"/>
      <c r="P40" s="73"/>
      <c r="Q40" s="73"/>
    </row>
    <row r="41" s="1" customFormat="1" ht="17.6" spans="2:20">
      <c r="B41" s="59" t="s">
        <v>34</v>
      </c>
      <c r="C41" s="58"/>
      <c r="D41" s="58"/>
      <c r="E41" s="68"/>
      <c r="F41" s="69"/>
      <c r="G41" s="70"/>
      <c r="H41" s="1" t="s">
        <v>40</v>
      </c>
      <c r="M41" s="39"/>
      <c r="N41" s="71"/>
      <c r="O41" s="71"/>
      <c r="P41" s="64"/>
      <c r="Q41" s="64"/>
    </row>
    <row r="42" s="1" customFormat="1" ht="17.6" spans="2:20">
      <c r="B42" s="8" t="s">
        <v>35</v>
      </c>
      <c r="C42" s="58"/>
      <c r="D42" s="58"/>
      <c r="E42" s="68"/>
      <c r="F42" s="69"/>
      <c r="G42" s="70"/>
      <c r="M42" s="63"/>
      <c r="N42" s="74"/>
      <c r="O42" s="74"/>
    </row>
    <row r="43" s="1" customFormat="1" ht="17.6" spans="2:20">
      <c r="B43" s="8" t="s">
        <v>36</v>
      </c>
      <c r="C43" s="58"/>
      <c r="D43" s="58"/>
      <c r="E43" s="68"/>
      <c r="F43" s="69"/>
      <c r="G43" s="70"/>
      <c r="M43" s="63"/>
      <c r="N43" s="74"/>
      <c r="O43" s="74"/>
    </row>
    <row r="44" s="1" customFormat="1" ht="17.6" spans="2:20">
      <c r="B44" s="8" t="s">
        <v>37</v>
      </c>
      <c r="C44" s="58"/>
      <c r="D44" s="58"/>
      <c r="E44" s="68"/>
      <c r="F44" s="69"/>
      <c r="G44" s="70"/>
      <c r="M44" s="63"/>
      <c r="N44" s="74"/>
      <c r="O44" s="74"/>
    </row>
    <row r="45" s="1" customFormat="1" ht="18.35" spans="2:20">
      <c r="B45" s="48" t="s">
        <v>11</v>
      </c>
      <c r="C45" s="75">
        <f t="shared" ref="C45:E45" si="6">SUM(C40:C44)</f>
        <v>0</v>
      </c>
      <c r="D45" s="75"/>
      <c r="E45" s="68"/>
      <c r="F45" s="69"/>
      <c r="G45" s="70"/>
    </row>
    <row r="46" s="1" customFormat="1" ht="17.6" spans="2:20">
      <c r="B46" s="63"/>
      <c r="C46" s="76"/>
      <c r="D46" s="67"/>
      <c r="E46" s="68"/>
      <c r="F46" s="69"/>
      <c r="G46" s="70"/>
      <c r="S46" s="77"/>
      <c r="T46" s="77"/>
    </row>
    <row r="47" s="1" customFormat="1" ht="18.35" spans="2:20">
      <c r="B47" s="63"/>
      <c r="C47" s="76"/>
      <c r="D47" s="67"/>
      <c r="E47" s="68"/>
      <c r="F47" s="69"/>
      <c r="G47" s="70"/>
      <c r="I47" s="78" t="s">
        <v>41</v>
      </c>
      <c r="P47" s="78" t="s">
        <v>42</v>
      </c>
    </row>
    <row r="48" s="1" customFormat="1" ht="18.35" spans="2:20">
      <c r="C48" s="79"/>
      <c r="D48" s="42"/>
      <c r="I48" s="80" t="s">
        <v>43</v>
      </c>
      <c r="J48" s="81" t="s">
        <v>44</v>
      </c>
      <c r="K48" s="80" t="s">
        <v>45</v>
      </c>
      <c r="L48" s="80" t="s">
        <v>46</v>
      </c>
      <c r="M48" s="80" t="s">
        <v>45</v>
      </c>
      <c r="O48" s="71"/>
      <c r="P48" s="80" t="s">
        <v>43</v>
      </c>
      <c r="Q48" s="80" t="s">
        <v>47</v>
      </c>
      <c r="R48" s="80" t="s">
        <v>45</v>
      </c>
      <c r="S48" s="80" t="s">
        <v>46</v>
      </c>
      <c r="T48" s="80" t="s">
        <v>45</v>
      </c>
    </row>
    <row r="49" s="1" customFormat="1" ht="19.1" spans="2:21">
      <c r="B49" s="82" t="s">
        <v>48</v>
      </c>
      <c r="C49" s="83" t="s">
        <v>49</v>
      </c>
      <c r="D49" s="83" t="s">
        <v>50</v>
      </c>
      <c r="E49" s="83" t="s">
        <v>51</v>
      </c>
      <c r="F49" s="83" t="s">
        <v>52</v>
      </c>
      <c r="G49" s="84" t="s">
        <v>53</v>
      </c>
      <c r="I49" s="85" t="s">
        <v>54</v>
      </c>
      <c r="J49" s="86"/>
      <c r="K49" s="87"/>
      <c r="L49" s="86"/>
      <c r="M49" s="87"/>
      <c r="O49" s="71"/>
      <c r="P49" s="85" t="s">
        <v>54</v>
      </c>
      <c r="Q49" s="88"/>
      <c r="R49" s="87"/>
      <c r="S49" s="86"/>
      <c r="T49" s="87"/>
    </row>
    <row r="50" s="1" customFormat="1" ht="19.1" spans="2:21">
      <c r="B50" s="89">
        <v>1</v>
      </c>
      <c r="C50" s="90"/>
      <c r="D50" s="91"/>
      <c r="E50" s="90"/>
      <c r="F50" s="89"/>
      <c r="G50" s="92"/>
      <c r="I50" s="93" t="s">
        <v>55</v>
      </c>
      <c r="J50" s="94"/>
      <c r="K50" s="95"/>
      <c r="L50" s="94"/>
      <c r="M50" s="95"/>
      <c r="O50" s="71"/>
      <c r="P50" s="93" t="s">
        <v>55</v>
      </c>
      <c r="Q50" s="96"/>
      <c r="R50" s="95"/>
      <c r="S50" s="94"/>
      <c r="T50" s="95"/>
    </row>
    <row r="51" s="1" customFormat="1" ht="18.35" spans="2:21">
      <c r="B51" s="89">
        <v>2</v>
      </c>
      <c r="C51" s="90"/>
      <c r="D51" s="91"/>
      <c r="E51" s="90"/>
      <c r="F51" s="89"/>
      <c r="G51" s="97"/>
      <c r="I51" s="98" t="s">
        <v>56</v>
      </c>
      <c r="J51" s="99"/>
      <c r="K51" s="100"/>
      <c r="L51" s="99"/>
      <c r="M51" s="100"/>
      <c r="O51" s="71"/>
      <c r="P51" s="98" t="s">
        <v>56</v>
      </c>
      <c r="Q51" s="101"/>
      <c r="R51" s="100"/>
      <c r="S51" s="99"/>
      <c r="T51" s="100"/>
    </row>
    <row r="52" s="1" customFormat="1" ht="18.35" spans="2:21">
      <c r="B52" s="89">
        <v>3</v>
      </c>
      <c r="C52" s="90"/>
      <c r="D52" s="91"/>
      <c r="E52" s="90"/>
      <c r="F52" s="89"/>
      <c r="G52" s="97"/>
      <c r="I52" s="93" t="s">
        <v>57</v>
      </c>
      <c r="J52" s="102"/>
      <c r="K52" s="103"/>
      <c r="L52" s="102"/>
      <c r="M52" s="103"/>
      <c r="O52" s="74"/>
      <c r="P52" s="93" t="s">
        <v>57</v>
      </c>
      <c r="Q52" s="104"/>
      <c r="R52" s="103"/>
      <c r="S52" s="102"/>
      <c r="T52" s="103"/>
    </row>
    <row r="53" s="1" customFormat="1" ht="15.75" customHeight="1" spans="2:21">
      <c r="B53" s="89">
        <v>4</v>
      </c>
      <c r="C53" s="90"/>
      <c r="D53" s="91"/>
      <c r="E53" s="90"/>
      <c r="F53" s="89"/>
      <c r="G53" s="97"/>
      <c r="I53" s="98" t="s">
        <v>58</v>
      </c>
      <c r="J53" s="99"/>
      <c r="K53" s="100"/>
      <c r="L53" s="99"/>
      <c r="M53" s="100"/>
      <c r="P53" s="98" t="s">
        <v>58</v>
      </c>
      <c r="Q53" s="101"/>
      <c r="R53" s="100"/>
      <c r="S53" s="99"/>
      <c r="T53" s="100"/>
    </row>
    <row r="54" s="1" customFormat="1" ht="19.5" customHeight="1" spans="2:21">
      <c r="B54" s="89">
        <v>5</v>
      </c>
      <c r="C54" s="90"/>
      <c r="D54" s="91"/>
      <c r="E54" s="90"/>
      <c r="F54" s="89"/>
      <c r="G54" s="92"/>
      <c r="I54" s="93" t="s">
        <v>59</v>
      </c>
      <c r="J54" s="102"/>
      <c r="K54" s="103"/>
      <c r="L54" s="102"/>
      <c r="M54" s="103"/>
      <c r="N54" s="25"/>
      <c r="O54" s="1"/>
      <c r="P54" s="93" t="s">
        <v>59</v>
      </c>
      <c r="Q54" s="104"/>
      <c r="R54" s="103"/>
      <c r="S54" s="102"/>
      <c r="T54" s="103"/>
      <c r="U54" s="25"/>
    </row>
    <row r="55" s="1" customFormat="1" ht="18.35" spans="2:21">
      <c r="B55" s="89">
        <v>6</v>
      </c>
      <c r="C55" s="90"/>
      <c r="D55" s="91"/>
      <c r="E55" s="90"/>
      <c r="F55" s="89"/>
      <c r="G55" s="97"/>
      <c r="I55" s="105" t="s">
        <v>60</v>
      </c>
      <c r="J55" s="106"/>
      <c r="K55" s="107"/>
      <c r="L55" s="106"/>
      <c r="M55" s="107"/>
      <c r="N55" s="108"/>
      <c r="O55" s="1"/>
      <c r="P55" s="105" t="s">
        <v>60</v>
      </c>
      <c r="Q55" s="108"/>
      <c r="R55" s="107"/>
      <c r="S55" s="106"/>
      <c r="T55" s="107"/>
    </row>
    <row r="56" s="1" customFormat="1" ht="17.6" spans="2:21">
      <c r="B56" s="89">
        <v>7</v>
      </c>
      <c r="C56" s="90"/>
      <c r="D56" s="91"/>
      <c r="E56" s="90"/>
      <c r="F56" s="89"/>
      <c r="G56" s="92"/>
    </row>
    <row r="57" s="1" customFormat="1" ht="17.6" spans="2:21">
      <c r="B57" s="89">
        <v>8</v>
      </c>
      <c r="C57" s="90"/>
      <c r="D57" s="91"/>
      <c r="E57" s="90"/>
      <c r="F57" s="89"/>
      <c r="G57" s="92"/>
    </row>
    <row r="58" s="1" customFormat="1" ht="17.6" spans="2:21">
      <c r="B58" s="89">
        <v>9</v>
      </c>
      <c r="C58" s="90"/>
      <c r="D58" s="91"/>
      <c r="E58" s="90"/>
      <c r="F58" s="89"/>
      <c r="G58" s="92"/>
    </row>
    <row r="59" s="1" customFormat="1" ht="17.6" spans="2:21">
      <c r="B59" s="89">
        <v>10</v>
      </c>
      <c r="C59" s="90"/>
      <c r="D59" s="91"/>
      <c r="E59" s="90"/>
      <c r="F59" s="89"/>
      <c r="G59" s="92"/>
    </row>
    <row r="60" s="1" customFormat="1" ht="18" spans="2:21">
      <c r="B60" s="89" t="s">
        <v>11</v>
      </c>
      <c r="C60" s="89"/>
      <c r="D60" s="89">
        <f>SUM(D50:D59)</f>
        <v>0</v>
      </c>
      <c r="E60" s="89">
        <f>SUM(E50:E59)</f>
        <v>0</v>
      </c>
      <c r="F60" s="89" t="s">
        <v>61</v>
      </c>
      <c r="G60" s="97"/>
      <c r="O60" s="109"/>
    </row>
    <row r="61" s="1" customFormat="1" ht="18.35" spans="2:21">
      <c r="B61" s="110"/>
      <c r="C61" s="111"/>
      <c r="D61" s="112"/>
      <c r="O61" s="113"/>
    </row>
    <row r="62" s="1" customFormat="1" ht="17.75" spans="2:21">
      <c r="B62" s="110"/>
      <c r="C62" s="111"/>
      <c r="D62" s="111"/>
      <c r="E62" s="111"/>
      <c r="F62" s="111"/>
      <c r="O62" s="114"/>
      <c r="P62" s="78" t="s">
        <v>20</v>
      </c>
    </row>
    <row r="63" s="1" customFormat="1" ht="17.75" spans="2:21">
      <c r="B63" s="115" t="s">
        <v>48</v>
      </c>
      <c r="C63" s="115" t="s">
        <v>62</v>
      </c>
      <c r="D63" s="116" t="s">
        <v>63</v>
      </c>
      <c r="E63" s="116" t="s">
        <v>64</v>
      </c>
      <c r="F63" s="116" t="s">
        <v>65</v>
      </c>
      <c r="G63" s="116" t="s">
        <v>66</v>
      </c>
      <c r="H63" s="1"/>
      <c r="I63" s="1"/>
      <c r="J63" s="1"/>
      <c r="O63" s="114"/>
      <c r="P63" s="80" t="s">
        <v>43</v>
      </c>
      <c r="Q63" s="80" t="s">
        <v>47</v>
      </c>
      <c r="R63" s="80" t="s">
        <v>46</v>
      </c>
      <c r="S63" s="80" t="s">
        <v>46</v>
      </c>
      <c r="T63" s="80" t="s">
        <v>45</v>
      </c>
    </row>
    <row r="64" s="1" customFormat="1" ht="19.1" spans="2:21">
      <c r="B64" s="117">
        <v>1</v>
      </c>
      <c r="C64" s="118"/>
      <c r="D64" s="119"/>
      <c r="E64" s="120"/>
      <c r="F64" s="121"/>
      <c r="G64" s="122"/>
      <c r="H64" s="1"/>
      <c r="I64" s="1"/>
      <c r="J64" s="1"/>
      <c r="O64" s="114"/>
      <c r="P64" s="85" t="s">
        <v>67</v>
      </c>
      <c r="Q64" s="88"/>
      <c r="R64" s="87"/>
      <c r="S64" s="123"/>
      <c r="T64" s="87"/>
    </row>
    <row r="65" s="1" customFormat="1" ht="19.1" spans="1:21">
      <c r="B65" s="98">
        <v>2</v>
      </c>
      <c r="C65" s="124"/>
      <c r="D65" s="125"/>
      <c r="E65" s="126"/>
      <c r="F65" s="127"/>
      <c r="G65" s="128"/>
      <c r="H65" s="1"/>
      <c r="I65" s="1"/>
      <c r="J65" s="1"/>
      <c r="O65" s="114"/>
      <c r="P65" s="93" t="s">
        <v>68</v>
      </c>
      <c r="Q65" s="96"/>
      <c r="R65" s="95"/>
      <c r="S65" s="122"/>
      <c r="T65" s="95"/>
    </row>
    <row r="66" s="1" customFormat="1" ht="61.5" customHeight="1" spans="1:21">
      <c r="B66" s="93">
        <v>3</v>
      </c>
      <c r="C66" s="118"/>
      <c r="D66" s="119"/>
      <c r="E66" s="119"/>
      <c r="F66" s="121"/>
      <c r="G66" s="129"/>
      <c r="H66" s="1"/>
      <c r="I66" s="1"/>
      <c r="J66" s="1"/>
      <c r="O66" s="114"/>
      <c r="P66" s="98" t="s">
        <v>69</v>
      </c>
      <c r="Q66" s="101"/>
      <c r="R66" s="100"/>
      <c r="S66" s="128"/>
      <c r="T66" s="100"/>
    </row>
    <row r="67" s="1" customFormat="1" ht="18.35" spans="1:21">
      <c r="B67" s="98">
        <v>4</v>
      </c>
      <c r="C67" s="124"/>
      <c r="D67" s="125"/>
      <c r="E67" s="125"/>
      <c r="F67" s="127"/>
      <c r="G67" s="128"/>
      <c r="H67" s="1"/>
      <c r="I67" s="1"/>
      <c r="J67" s="1"/>
      <c r="O67" s="114"/>
      <c r="P67" s="93" t="s">
        <v>70</v>
      </c>
      <c r="Q67" s="104"/>
      <c r="R67" s="103"/>
      <c r="S67" s="129"/>
      <c r="T67" s="103"/>
    </row>
    <row r="68" s="1" customFormat="1" ht="19.1" spans="1:21">
      <c r="B68" s="93">
        <v>5</v>
      </c>
      <c r="C68" s="118"/>
      <c r="D68" s="119"/>
      <c r="E68" s="120"/>
      <c r="F68" s="130"/>
      <c r="G68" s="129"/>
      <c r="H68" s="1"/>
      <c r="I68" s="1"/>
      <c r="J68" s="1"/>
      <c r="K68" s="131"/>
      <c r="N68" s="132"/>
      <c r="O68" s="114"/>
      <c r="P68" s="98" t="s">
        <v>71</v>
      </c>
      <c r="Q68" s="101"/>
      <c r="R68" s="100"/>
      <c r="S68" s="128"/>
      <c r="T68" s="100"/>
    </row>
    <row r="69" s="1" customFormat="1" ht="18.35" spans="1:21">
      <c r="B69" s="98">
        <v>6</v>
      </c>
      <c r="C69" s="124"/>
      <c r="D69" s="125"/>
      <c r="E69" s="125"/>
      <c r="F69" s="127"/>
      <c r="G69" s="128"/>
      <c r="H69" s="1"/>
      <c r="I69" s="1"/>
      <c r="J69" s="1"/>
      <c r="K69" s="131"/>
      <c r="L69" s="131"/>
      <c r="N69" s="132"/>
      <c r="O69" s="114"/>
      <c r="P69" s="93" t="s">
        <v>72</v>
      </c>
      <c r="Q69" s="104"/>
      <c r="R69" s="103"/>
      <c r="S69" s="129"/>
      <c r="T69" s="103"/>
      <c r="U69" s="25"/>
    </row>
    <row r="70" s="1" customFormat="1" ht="19.1" spans="1:21">
      <c r="A70" s="25"/>
      <c r="B70" s="93">
        <v>7</v>
      </c>
      <c r="C70" s="133"/>
      <c r="D70" s="134"/>
      <c r="E70" s="119"/>
      <c r="F70" s="121"/>
      <c r="G70" s="129"/>
      <c r="H70" s="1"/>
      <c r="I70" s="1"/>
      <c r="J70" s="1"/>
      <c r="K70" s="131"/>
      <c r="L70" s="135"/>
      <c r="M70" s="135"/>
      <c r="N70" s="132"/>
      <c r="O70" s="114"/>
      <c r="P70" s="105" t="s">
        <v>60</v>
      </c>
      <c r="Q70" s="108"/>
      <c r="R70" s="107"/>
      <c r="S70" s="108"/>
      <c r="T70" s="107"/>
    </row>
    <row r="71" s="1" customFormat="1" ht="18.35" spans="1:21">
      <c r="B71" s="98">
        <v>8</v>
      </c>
      <c r="C71" s="127"/>
      <c r="D71" s="136"/>
      <c r="E71" s="125"/>
      <c r="F71" s="127"/>
      <c r="G71" s="128"/>
      <c r="H71" s="1"/>
      <c r="I71" s="1"/>
      <c r="J71" s="1"/>
      <c r="K71" s="131"/>
      <c r="L71" s="131"/>
      <c r="M71" s="114"/>
      <c r="N71" s="132"/>
      <c r="O71" s="114"/>
    </row>
    <row r="72" s="1" customFormat="1" ht="19.1" spans="1:21">
      <c r="B72" s="93">
        <v>9</v>
      </c>
      <c r="C72" s="133"/>
      <c r="D72" s="119"/>
      <c r="E72" s="137"/>
      <c r="F72" s="130"/>
      <c r="G72" s="129"/>
      <c r="H72" s="1"/>
      <c r="I72" s="1"/>
      <c r="J72" s="1"/>
      <c r="K72" s="131"/>
    </row>
    <row r="73" s="1" customFormat="1" ht="18.35" spans="1:21">
      <c r="B73" s="98">
        <v>10</v>
      </c>
      <c r="C73" s="127"/>
      <c r="D73" s="138"/>
      <c r="E73" s="136"/>
      <c r="F73" s="127"/>
      <c r="G73" s="128"/>
      <c r="H73" s="1"/>
      <c r="I73" s="1"/>
      <c r="J73" s="1"/>
      <c r="K73" s="131"/>
    </row>
    <row r="74" s="1" customFormat="1" ht="17.6" spans="1:21">
      <c r="B74" s="139" t="s">
        <v>11</v>
      </c>
      <c r="C74" s="140"/>
      <c r="D74" s="93" t="s">
        <v>73</v>
      </c>
      <c r="E74" s="93" t="s">
        <v>73</v>
      </c>
      <c r="F74" s="93" t="s">
        <v>73</v>
      </c>
      <c r="G74" s="129">
        <f>SUM(G64:G73)</f>
        <v>0</v>
      </c>
      <c r="K74" s="131"/>
    </row>
    <row r="75" s="1" customFormat="1" ht="17.55" spans="1:21">
      <c r="C75" s="141"/>
      <c r="D75" s="141"/>
      <c r="E75" s="142"/>
      <c r="F75" s="111"/>
      <c r="K75" s="131"/>
    </row>
    <row r="76" s="1" customFormat="1" ht="17.55" spans="1:21">
      <c r="B76" s="25"/>
      <c r="C76" s="141"/>
      <c r="D76" s="141"/>
      <c r="E76" s="142"/>
      <c r="F76" s="111"/>
      <c r="K76" s="131"/>
    </row>
    <row r="77" spans="1:21">
      <c r="A77" s="143"/>
      <c r="C77" s="144"/>
      <c r="D77" s="144"/>
      <c r="E77" s="145"/>
      <c r="F77" s="1"/>
      <c r="G77" s="1"/>
      <c r="J77" s="1"/>
    </row>
    <row r="79" ht="17.55" spans="1:21">
      <c r="A79" s="146"/>
      <c r="B79" t="s">
        <v>74</v>
      </c>
    </row>
    <row r="80" ht="18.75" spans="1:21">
      <c r="A80" s="147"/>
      <c r="B80" s="148" t="s">
        <v>75</v>
      </c>
      <c r="C80" s="149" t="s">
        <v>76</v>
      </c>
      <c r="D80" s="149" t="s">
        <v>77</v>
      </c>
    </row>
    <row r="81" ht="18.75" spans="1:8">
      <c r="A81" s="147"/>
      <c r="B81" s="150" t="s">
        <v>78</v>
      </c>
      <c r="C81" s="151"/>
      <c r="D81" s="151"/>
    </row>
    <row r="82" ht="18.75" spans="1:8">
      <c r="A82" s="147"/>
      <c r="B82" s="150" t="s">
        <v>34</v>
      </c>
      <c r="C82" s="151"/>
      <c r="D82" s="151"/>
      <c r="E82"/>
      <c r="F82"/>
      <c r="G82"/>
      <c r="H82" s="152"/>
    </row>
    <row r="83" ht="18.75" spans="1:8">
      <c r="A83" s="147"/>
      <c r="B83" s="150" t="s">
        <v>35</v>
      </c>
      <c r="C83" s="151"/>
      <c r="D83" s="151"/>
      <c r="E83"/>
      <c r="F83"/>
      <c r="G83"/>
      <c r="H83" s="152"/>
    </row>
    <row r="84" ht="18.75" spans="1:8">
      <c r="A84" s="147"/>
      <c r="B84" s="150" t="s">
        <v>36</v>
      </c>
      <c r="C84" s="151"/>
      <c r="D84" s="151"/>
      <c r="E84"/>
      <c r="F84"/>
      <c r="G84"/>
      <c r="H84" s="152"/>
    </row>
    <row r="85" ht="18.75" spans="1:8">
      <c r="A85" s="147"/>
      <c r="B85" s="150" t="s">
        <v>37</v>
      </c>
      <c r="C85" s="151"/>
      <c r="D85" s="151"/>
      <c r="E85"/>
      <c r="F85"/>
      <c r="G85"/>
      <c r="H85" s="152"/>
    </row>
    <row r="86" ht="18.75" spans="1:8">
      <c r="A86" s="147"/>
      <c r="B86" s="153" t="s">
        <v>11</v>
      </c>
      <c r="C86" s="154">
        <f>C81+C82+C83+C84+C85</f>
        <v>0</v>
      </c>
      <c r="D86" s="154">
        <f>D81+D82+D83+D84+D85</f>
        <v>0</v>
      </c>
      <c r="H86" s="152"/>
    </row>
    <row r="87" spans="1:8">
      <c r="A87" s="146"/>
      <c r="B87" s="146"/>
      <c r="C87" s="155"/>
      <c r="D87" s="156"/>
    </row>
    <row r="88" ht="17.55" spans="1:8">
      <c r="A88" s="146"/>
      <c r="B88" s="146"/>
      <c r="C88" s="157"/>
      <c r="D88" s="156"/>
    </row>
    <row r="89" spans="1:8">
      <c r="A89" s="146"/>
      <c r="B89" s="146"/>
      <c r="C89" s="157"/>
      <c r="D89" s="156"/>
    </row>
    <row r="90" ht="17.55" spans="1:8">
      <c r="A90" s="146"/>
      <c r="C90" s="158"/>
      <c r="D90" s="159"/>
    </row>
    <row r="91" ht="17.55" spans="1:8">
      <c r="A91" s="146"/>
      <c r="B91" s="146"/>
      <c r="C91" s="157"/>
      <c r="D91" s="156"/>
    </row>
    <row r="92" spans="1:8">
      <c r="A92" s="146"/>
      <c r="B92" s="160" t="s">
        <v>79</v>
      </c>
      <c r="C92" s="161"/>
      <c r="D92" s="162"/>
    </row>
    <row r="93" ht="18.75" spans="1:8">
      <c r="A93" s="147"/>
      <c r="B93" s="148" t="s">
        <v>75</v>
      </c>
      <c r="C93" s="163" t="s">
        <v>80</v>
      </c>
      <c r="D93" s="164" t="s">
        <v>3</v>
      </c>
      <c r="F93" s="146"/>
      <c r="G93" s="165"/>
    </row>
    <row r="94" ht="18.75" spans="1:8">
      <c r="A94" s="147"/>
      <c r="B94" s="166" t="s">
        <v>78</v>
      </c>
      <c r="C94" s="167"/>
      <c r="D94" s="168"/>
      <c r="F94" s="146"/>
      <c r="G94" s="165"/>
    </row>
    <row r="95" ht="18.75" spans="1:8">
      <c r="A95" s="147"/>
      <c r="B95" s="169" t="s">
        <v>34</v>
      </c>
      <c r="C95" s="167"/>
      <c r="D95" s="168"/>
      <c r="E95" s="152"/>
      <c r="F95" s="146"/>
      <c r="G95" s="165"/>
    </row>
    <row r="96" ht="18.75" spans="1:8">
      <c r="A96" s="147"/>
      <c r="B96" s="169" t="s">
        <v>35</v>
      </c>
      <c r="C96" s="167"/>
      <c r="D96" s="168"/>
      <c r="F96" s="146"/>
      <c r="G96" s="170"/>
    </row>
    <row r="97" ht="18.75" spans="1:7">
      <c r="A97" s="147"/>
      <c r="B97" s="169" t="s">
        <v>36</v>
      </c>
      <c r="C97" s="167"/>
      <c r="D97" s="168"/>
      <c r="F97" s="171"/>
      <c r="G97" s="172"/>
    </row>
    <row r="98" ht="18.75" spans="1:7">
      <c r="A98" s="147"/>
      <c r="B98" s="169" t="s">
        <v>37</v>
      </c>
      <c r="C98" s="167"/>
      <c r="D98" s="168"/>
    </row>
    <row r="99" ht="18.75" spans="1:7">
      <c r="A99" s="147"/>
      <c r="B99" s="173" t="s">
        <v>11</v>
      </c>
      <c r="C99" s="174">
        <f>C94+C95+C96+C97+C98</f>
        <v>0</v>
      </c>
      <c r="D99" s="175"/>
    </row>
    <row r="100" ht="17.55" spans="1:7">
      <c r="A100" s="147"/>
      <c r="B100" s="146"/>
      <c r="C100" s="157"/>
      <c r="D100" s="156"/>
    </row>
    <row r="101" ht="17.55" spans="1:7">
      <c r="A101" s="176"/>
      <c r="B101" s="146"/>
      <c r="C101" s="157"/>
      <c r="D101" s="156"/>
    </row>
    <row r="102" ht="17.55" spans="1:7">
      <c r="A102" s="176"/>
      <c r="B102" s="146"/>
      <c r="C102" s="157"/>
      <c r="D102" s="156"/>
    </row>
    <row r="103" ht="17.55" spans="1:7">
      <c r="A103" s="176"/>
      <c r="B103" s="171"/>
      <c r="C103" s="177"/>
      <c r="D103" s="162"/>
    </row>
    <row r="104" ht="18" spans="1:7">
      <c r="A104" s="178"/>
      <c r="B104" s="148" t="s">
        <v>81</v>
      </c>
      <c r="C104" s="149" t="s">
        <v>75</v>
      </c>
      <c r="D104" s="149" t="s">
        <v>80</v>
      </c>
      <c r="E104" s="179" t="s">
        <v>3</v>
      </c>
    </row>
    <row r="105" ht="17.6" spans="1:7">
      <c r="A105" s="180"/>
      <c r="B105" s="181" t="s">
        <v>82</v>
      </c>
      <c r="C105" s="182"/>
      <c r="D105" s="151"/>
      <c r="E105" s="11"/>
      <c r="F105" s="159"/>
    </row>
    <row r="106" ht="17.6" spans="1:7">
      <c r="A106" s="180"/>
      <c r="B106" s="183"/>
      <c r="C106" s="182"/>
      <c r="D106" s="151"/>
      <c r="E106" s="11"/>
      <c r="F106" s="159"/>
    </row>
    <row r="107" ht="17.6" spans="1:7">
      <c r="A107" s="180"/>
      <c r="B107" s="184"/>
      <c r="C107" s="182"/>
      <c r="D107" s="151"/>
      <c r="E107" s="11"/>
      <c r="F107" s="159"/>
    </row>
    <row r="108" ht="17.6" spans="1:7">
      <c r="A108" s="180"/>
      <c r="B108" s="185" t="s">
        <v>83</v>
      </c>
      <c r="C108" s="182"/>
      <c r="D108" s="151"/>
      <c r="E108" s="11"/>
      <c r="F108" s="159"/>
    </row>
    <row r="109" ht="18.35" spans="1:7">
      <c r="A109" s="180"/>
      <c r="B109" s="186"/>
      <c r="C109" s="187"/>
      <c r="D109" s="188"/>
      <c r="E109" s="18"/>
      <c r="F109" s="159"/>
    </row>
    <row r="110" ht="17.55" spans="1:7">
      <c r="A110" s="146"/>
      <c r="B110" s="146"/>
      <c r="C110" s="146"/>
      <c r="D110" s="146"/>
    </row>
    <row r="111" ht="17.55" spans="1:7">
      <c r="A111" s="146"/>
      <c r="B111" s="146"/>
      <c r="C111" s="155"/>
      <c r="D111" s="156"/>
    </row>
    <row r="112" ht="17.55" spans="1:7">
      <c r="A112" s="146"/>
      <c r="B112" s="146"/>
      <c r="C112" s="157"/>
      <c r="D112" s="156"/>
    </row>
    <row r="113" ht="17.55" spans="1:5">
      <c r="A113" s="146"/>
      <c r="B113" s="146"/>
      <c r="C113" s="155"/>
      <c r="D113" s="156"/>
    </row>
    <row r="114" ht="17.55" spans="1:5">
      <c r="A114" s="146"/>
      <c r="B114" s="146"/>
      <c r="C114" s="157"/>
      <c r="D114" s="156"/>
    </row>
    <row r="115" ht="17.55" spans="1:5">
      <c r="A115" s="146"/>
      <c r="B115" s="146"/>
      <c r="C115" s="157"/>
      <c r="D115" s="156"/>
    </row>
    <row r="116" ht="17.55" spans="1:5">
      <c r="A116" s="146"/>
      <c r="B116" s="176"/>
      <c r="C116" s="176"/>
      <c r="D116" s="189"/>
      <c r="E116" s="190"/>
    </row>
    <row r="117" ht="17.55" spans="1:5">
      <c r="A117" s="146"/>
      <c r="B117" s="146"/>
      <c r="C117" s="146"/>
      <c r="D117" s="157"/>
      <c r="E117" s="156"/>
    </row>
  </sheetData>
  <sortState ref="A113:E116">
    <sortCondition ref="E113:E116" descending="1"/>
  </sortState>
  <mergeCells count="5">
    <mergeCell ref="F2:G2"/>
    <mergeCell ref="B74:C74"/>
    <mergeCell ref="A105:A106"/>
    <mergeCell ref="B105:B107"/>
    <mergeCell ref="B108:B109"/>
  </mergeCells>
  <conditionalFormatting sqref="D23:E23">
    <cfRule type="cellIs" dxfId="0" priority="2" operator="lessThan">
      <formula>0</formula>
    </cfRule>
    <cfRule type="cellIs" dxfId="1" priority="1" operator="greaterThan">
      <formula>0</formula>
    </cfRule>
  </conditionalFormatting>
  <conditionalFormatting sqref="E3:E7">
    <cfRule type="cellIs" dxfId="1" priority="17" operator="greaterThan">
      <formula>0</formula>
    </cfRule>
    <cfRule type="cellIs" dxfId="0" priority="18" operator="lessThan">
      <formula>0</formula>
    </cfRule>
  </conditionalFormatting>
  <conditionalFormatting sqref="E105:E109">
    <cfRule type="cellIs" dxfId="1" priority="5" operator="greaterThan">
      <formula>0</formula>
    </cfRule>
    <cfRule type="cellIs" dxfId="0" priority="6" operator="lessThan">
      <formula>0</formula>
    </cfRule>
  </conditionalFormatting>
  <conditionalFormatting sqref="G3:G7">
    <cfRule type="cellIs" dxfId="1" priority="19" operator="greaterThan">
      <formula>0</formula>
    </cfRule>
    <cfRule type="cellIs" dxfId="0" priority="20" operator="lessThan">
      <formula>0</formula>
    </cfRule>
  </conditionalFormatting>
  <conditionalFormatting sqref="J3:J6">
    <cfRule type="cellIs" dxfId="1" priority="15" operator="greaterThan">
      <formula>0</formula>
    </cfRule>
    <cfRule type="cellIs" dxfId="0" priority="16" operator="lessThan">
      <formula>0</formula>
    </cfRule>
  </conditionalFormatting>
  <conditionalFormatting sqref="D21:E22 D24:E24">
    <cfRule type="cellIs" dxfId="1" priority="31" operator="greaterThan">
      <formula>0</formula>
    </cfRule>
    <cfRule type="cellIs" dxfId="0" priority="32" operator="lessThan">
      <formula>0</formula>
    </cfRule>
  </conditionalFormatting>
  <conditionalFormatting sqref="D27:E29">
    <cfRule type="cellIs" dxfId="1" priority="33" operator="greaterThan">
      <formula>0</formula>
    </cfRule>
    <cfRule type="cellIs" dxfId="0" priority="34" operator="lessThan">
      <formula>0</formula>
    </cfRule>
  </conditionalFormatting>
  <conditionalFormatting sqref="I27:J29">
    <cfRule type="cellIs" dxfId="1" priority="21" operator="greaterThan">
      <formula>0</formula>
    </cfRule>
    <cfRule type="cellIs" dxfId="0" priority="22" operator="lessThan">
      <formula>0</formula>
    </cfRule>
  </conditionalFormatting>
  <pageMargins left="0.7" right="0.7" top="0.75" bottom="0.75" header="0.3" footer="0.3"/>
  <pageSetup paperSize="9" scale="59" orientation="landscape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74F7B98-2D35-4383-B17F-A67C41184FFC}">
  <ds:schemaRefs/>
</ds:datastoreItem>
</file>

<file path=customXml/itemProps2.xml><?xml version="1.0" encoding="utf-8"?>
<ds:datastoreItem xmlns:ds="http://schemas.openxmlformats.org/officeDocument/2006/customXml" ds:itemID="{6FC72C5F-8533-4583-9EE7-3ED76A0857C9}">
  <ds:schemaRefs/>
</ds:datastoreItem>
</file>

<file path=customXml/itemProps3.xml><?xml version="1.0" encoding="utf-8"?>
<ds:datastoreItem xmlns:ds="http://schemas.openxmlformats.org/officeDocument/2006/customXml" ds:itemID="{ABE69C20-BA59-402A-8A3A-29A3C14A438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Weekly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Linnea Wang</dc:creator>
  <cp:lastModifiedBy>萧恩赐</cp:lastModifiedBy>
  <dcterms:created xsi:type="dcterms:W3CDTF">2025-11-24T09:18:00Z</dcterms:created>
  <dcterms:modified xsi:type="dcterms:W3CDTF">2026-08-18T22:07:14Z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97f988-8a1e-4d4e-b5ab-f30d9bb683e6_Enabled">
    <vt:lpwstr>true</vt:lpwstr>
  </property>
  <property fmtid="{D5CDD505-2E9C-101B-9397-08002B2CF9AE}" pid="3" name="MSIP_Label_3797f988-8a1e-4d4e-b5ab-f30d9bb683e6_SetDate">
    <vt:lpwstr>2025-11-24T01:19:02Z</vt:lpwstr>
  </property>
  <property fmtid="{D5CDD505-2E9C-101B-9397-08002B2CF9AE}" pid="4" name="MSIP_Label_3797f988-8a1e-4d4e-b5ab-f30d9bb683e6_Method">
    <vt:lpwstr>Privileged</vt:lpwstr>
  </property>
  <property fmtid="{D5CDD505-2E9C-101B-9397-08002B2CF9AE}" pid="5" name="MSIP_Label_3797f988-8a1e-4d4e-b5ab-f30d9bb683e6_Name">
    <vt:lpwstr>3797f988-8a1e-4d4e-b5ab-f30d9bb683e6</vt:lpwstr>
  </property>
  <property fmtid="{D5CDD505-2E9C-101B-9397-08002B2CF9AE}" pid="6" name="MSIP_Label_3797f988-8a1e-4d4e-b5ab-f30d9bb683e6_SiteId">
    <vt:lpwstr>ae326a90-5548-4db0-a52c-9b8e317c2010</vt:lpwstr>
  </property>
  <property fmtid="{D5CDD505-2E9C-101B-9397-08002B2CF9AE}" pid="7" name="MSIP_Label_3797f988-8a1e-4d4e-b5ab-f30d9bb683e6_ActionId">
    <vt:lpwstr>70eb2a0d-f763-4b6f-a964-ff0992ebd4ed</vt:lpwstr>
  </property>
  <property fmtid="{D5CDD505-2E9C-101B-9397-08002B2CF9AE}" pid="8" name="MSIP_Label_3797f988-8a1e-4d4e-b5ab-f30d9bb683e6_ContentBits">
    <vt:lpwstr>0</vt:lpwstr>
  </property>
  <property fmtid="{D5CDD505-2E9C-101B-9397-08002B2CF9AE}" pid="9" name="MSIP_Label_3797f988-8a1e-4d4e-b5ab-f30d9bb683e6_Tag">
    <vt:lpwstr>10, 0, 1, 1</vt:lpwstr>
  </property>
  <property fmtid="{D5CDD505-2E9C-101B-9397-08002B2CF9AE}" pid="10" name="ContentTypeId">
    <vt:lpwstr>0x0101004319B4AB53844D408FCF078D0191EA4F</vt:lpwstr>
  </property>
  <property fmtid="{D5CDD505-2E9C-101B-9397-08002B2CF9AE}" pid="11" name="ICV">
    <vt:lpwstr>9537EF175E4EBFB24B1D846A30F9B086_43</vt:lpwstr>
  </property>
  <property fmtid="{D5CDD505-2E9C-101B-9397-08002B2CF9AE}" pid="12" name="KSOProductBuildVer">
    <vt:lpwstr>2052-12.1.26055.26055</vt:lpwstr>
  </property>
  <property fmtid="{D5CDD505-2E9C-101B-9397-08002B2CF9AE}" pid="13" name="CalculationRule">
    <vt:i4>0</vt:i4>
  </property>
</Properties>
</file>